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92bb6bd08a88b1a/Dokumen/"/>
    </mc:Choice>
  </mc:AlternateContent>
  <xr:revisionPtr revIDLastSave="0" documentId="8_{25A08A69-1C02-4637-A0CC-E3BD1A61B686}" xr6:coauthVersionLast="47" xr6:coauthVersionMax="47" xr10:uidLastSave="{00000000-0000-0000-0000-000000000000}"/>
  <bookViews>
    <workbookView xWindow="-108" yWindow="-108" windowWidth="23256" windowHeight="12456" firstSheet="2" activeTab="7" xr2:uid="{5F658F39-5429-4EEA-BD57-C11B421035B6}"/>
  </bookViews>
  <sheets>
    <sheet name="Master_Data" sheetId="1" r:id="rId1"/>
    <sheet name="KPI_Summary" sheetId="2" r:id="rId2"/>
    <sheet name="Agent_Performance" sheetId="3" r:id="rId3"/>
    <sheet name="Call_Volume" sheetId="4" r:id="rId4"/>
    <sheet name="Manpower_Planning" sheetId="5" r:id="rId5"/>
    <sheet name="Quality analysis" sheetId="7" r:id="rId6"/>
    <sheet name="Attrition" sheetId="8" r:id="rId7"/>
    <sheet name="Dashboard" sheetId="9" r:id="rId8"/>
  </sheets>
  <definedNames>
    <definedName name="Slicer_Agent_Name">#N/A</definedName>
    <definedName name="Slicer_AHT_Sec">#N/A</definedName>
    <definedName name="Slicer_Calls_Abandoned">#N/A</definedName>
    <definedName name="Slicer_Customer_Satisfaction">#N/A</definedName>
    <definedName name="Slicer_QA_Score">#N/A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8" l="1"/>
  <c r="F3" i="8"/>
  <c r="G3" i="8" s="1"/>
  <c r="F4" i="8"/>
  <c r="G4" i="8"/>
  <c r="G2" i="8"/>
  <c r="E3" i="8"/>
  <c r="E4" i="8"/>
  <c r="E2" i="8"/>
  <c r="G3" i="5"/>
  <c r="G4" i="5"/>
  <c r="G2" i="5"/>
  <c r="E3" i="5"/>
  <c r="E4" i="5"/>
  <c r="E2" i="5"/>
  <c r="D3" i="5"/>
  <c r="D4" i="5"/>
  <c r="D2" i="5"/>
  <c r="B6" i="2"/>
  <c r="B5" i="2"/>
  <c r="B4" i="2"/>
  <c r="B3" i="2"/>
  <c r="B2" i="2"/>
</calcChain>
</file>

<file path=xl/sharedStrings.xml><?xml version="1.0" encoding="utf-8"?>
<sst xmlns="http://schemas.openxmlformats.org/spreadsheetml/2006/main" count="412" uniqueCount="161">
  <si>
    <t>Date</t>
  </si>
  <si>
    <t>Day</t>
  </si>
  <si>
    <t>Week</t>
  </si>
  <si>
    <t>Month</t>
  </si>
  <si>
    <t>Year</t>
  </si>
  <si>
    <t>Campaign</t>
  </si>
  <si>
    <t>Process</t>
  </si>
  <si>
    <t>Queue</t>
  </si>
  <si>
    <t>Interaction_ID</t>
  </si>
  <si>
    <t>Call_Type</t>
  </si>
  <si>
    <t>Customer_ID</t>
  </si>
  <si>
    <t>Customer_Country</t>
  </si>
  <si>
    <t>Customer_Segment</t>
  </si>
  <si>
    <t>Agent_ID</t>
  </si>
  <si>
    <t>Agent_Name</t>
  </si>
  <si>
    <t>Agent_Team</t>
  </si>
  <si>
    <t>Team_Leader</t>
  </si>
  <si>
    <t>Manager</t>
  </si>
  <si>
    <t>Agent_Location</t>
  </si>
  <si>
    <t>Shift</t>
  </si>
  <si>
    <t>Shift_Start</t>
  </si>
  <si>
    <t>Shift_End</t>
  </si>
  <si>
    <t>Login_Time</t>
  </si>
  <si>
    <t>Logout_Time</t>
  </si>
  <si>
    <t>Scheduled_Hours</t>
  </si>
  <si>
    <t>Actual_Work_Hours</t>
  </si>
  <si>
    <t>Break_Time_Min</t>
  </si>
  <si>
    <t>Lunch_Time_Min</t>
  </si>
  <si>
    <t>Aux_Time_Min</t>
  </si>
  <si>
    <t>Calls_Handled</t>
  </si>
  <si>
    <t>Calls_Offered</t>
  </si>
  <si>
    <t>Calls_Abandoned</t>
  </si>
  <si>
    <t>Talk_Time_Min</t>
  </si>
  <si>
    <t>Hold_Time_Min</t>
  </si>
  <si>
    <t>After_Call_Work_Min</t>
  </si>
  <si>
    <t>Handle_Time_Sec</t>
  </si>
  <si>
    <t>AHT_Sec</t>
  </si>
  <si>
    <t>First_Call_Resolution</t>
  </si>
  <si>
    <t>Transfer_Flag</t>
  </si>
  <si>
    <t>Escalation_Flag</t>
  </si>
  <si>
    <t>Customer_Satisfaction</t>
  </si>
  <si>
    <t>NPS</t>
  </si>
  <si>
    <t>QA_Score</t>
  </si>
  <si>
    <t>Greeting_Score</t>
  </si>
  <si>
    <t>Resolution_Score</t>
  </si>
  <si>
    <t>Soft_Skills_Score</t>
  </si>
  <si>
    <t>Compliance_Score</t>
  </si>
  <si>
    <t>Adherence_Percentage</t>
  </si>
  <si>
    <t>Occupancy_Percentage</t>
  </si>
  <si>
    <t>Shrinkage_Percentage</t>
  </si>
  <si>
    <t>Forecast_Calls</t>
  </si>
  <si>
    <t>Required_Agents</t>
  </si>
  <si>
    <t>Available_Agents</t>
  </si>
  <si>
    <t>Overtime_Hours</t>
  </si>
  <si>
    <t>Attrition_Flag</t>
  </si>
  <si>
    <t>Mon</t>
  </si>
  <si>
    <t>Apr</t>
  </si>
  <si>
    <t>Ecommerce</t>
  </si>
  <si>
    <t>Support</t>
  </si>
  <si>
    <t>Billing</t>
  </si>
  <si>
    <t>INT1001</t>
  </si>
  <si>
    <t>Inbound</t>
  </si>
  <si>
    <t>C9001</t>
  </si>
  <si>
    <t>USA</t>
  </si>
  <si>
    <t>Premium</t>
  </si>
  <si>
    <t>A101</t>
  </si>
  <si>
    <t>Rahul</t>
  </si>
  <si>
    <t>TeamA</t>
  </si>
  <si>
    <t>TL01</t>
  </si>
  <si>
    <t>M01</t>
  </si>
  <si>
    <t>Noida</t>
  </si>
  <si>
    <t>Morning</t>
  </si>
  <si>
    <t>Yes</t>
  </si>
  <si>
    <t>No</t>
  </si>
  <si>
    <t>Returns</t>
  </si>
  <si>
    <t>INT1002</t>
  </si>
  <si>
    <t>C9002</t>
  </si>
  <si>
    <t>UK</t>
  </si>
  <si>
    <t>Standard</t>
  </si>
  <si>
    <t>A102</t>
  </si>
  <si>
    <t>Priya</t>
  </si>
  <si>
    <t>INT1003</t>
  </si>
  <si>
    <t>C9003</t>
  </si>
  <si>
    <t>Canada</t>
  </si>
  <si>
    <t>A103</t>
  </si>
  <si>
    <t>Aman</t>
  </si>
  <si>
    <t>TeamB</t>
  </si>
  <si>
    <t>TL02</t>
  </si>
  <si>
    <t>Delivery</t>
  </si>
  <si>
    <t>INT1004</t>
  </si>
  <si>
    <t>C9004</t>
  </si>
  <si>
    <t>A104</t>
  </si>
  <si>
    <t>Neha</t>
  </si>
  <si>
    <t>INT1005</t>
  </si>
  <si>
    <t>C9005</t>
  </si>
  <si>
    <t>A105</t>
  </si>
  <si>
    <t>Arjun</t>
  </si>
  <si>
    <t>TeamC</t>
  </si>
  <si>
    <t>TL03</t>
  </si>
  <si>
    <t>Tue</t>
  </si>
  <si>
    <t>INT1006</t>
  </si>
  <si>
    <t>C9006</t>
  </si>
  <si>
    <t>INT1007</t>
  </si>
  <si>
    <t>C9007</t>
  </si>
  <si>
    <t>INT1008</t>
  </si>
  <si>
    <t>C9008</t>
  </si>
  <si>
    <t>INT1009</t>
  </si>
  <si>
    <t>C9009</t>
  </si>
  <si>
    <t>INT1010</t>
  </si>
  <si>
    <t>C9010</t>
  </si>
  <si>
    <t>Wed</t>
  </si>
  <si>
    <t>INT1011</t>
  </si>
  <si>
    <t>C9011</t>
  </si>
  <si>
    <t>INT1012</t>
  </si>
  <si>
    <t>C9012</t>
  </si>
  <si>
    <t>INT1013</t>
  </si>
  <si>
    <t>C9013</t>
  </si>
  <si>
    <t>INT1014</t>
  </si>
  <si>
    <t>C9014</t>
  </si>
  <si>
    <t>INT1015</t>
  </si>
  <si>
    <t>C9015</t>
  </si>
  <si>
    <t>A</t>
  </si>
  <si>
    <t>B</t>
  </si>
  <si>
    <t>Total Calls Handled</t>
  </si>
  <si>
    <t>Average AHT (sec)</t>
  </si>
  <si>
    <t>Average CSAT (%)</t>
  </si>
  <si>
    <t>Average QA Score</t>
  </si>
  <si>
    <t>Average Adherence (%)</t>
  </si>
  <si>
    <t>Row Labels</t>
  </si>
  <si>
    <t>Grand Total</t>
  </si>
  <si>
    <t>Sum of Calls_Handled</t>
  </si>
  <si>
    <t>Average of QA_Score</t>
  </si>
  <si>
    <t>Names</t>
  </si>
  <si>
    <t xml:space="preserve">  Total calls Handled </t>
  </si>
  <si>
    <t xml:space="preserve"> Average AHT</t>
  </si>
  <si>
    <t xml:space="preserve"> Average C-sat</t>
  </si>
  <si>
    <t xml:space="preserve"> Average QA Score</t>
  </si>
  <si>
    <t>Average Adherence_Percentage</t>
  </si>
  <si>
    <t>Sum of Calls_Offered</t>
  </si>
  <si>
    <t>Sum of Calls_Abandoned</t>
  </si>
  <si>
    <t>01-Apr</t>
  </si>
  <si>
    <t>02-Apr</t>
  </si>
  <si>
    <t>03-Apr</t>
  </si>
  <si>
    <t>Forecast calls</t>
  </si>
  <si>
    <t>AHT(Sec)</t>
  </si>
  <si>
    <t>Workload</t>
  </si>
  <si>
    <t>Required Agents</t>
  </si>
  <si>
    <t>Available Agents</t>
  </si>
  <si>
    <t>Gap</t>
  </si>
  <si>
    <t>Average of Greeting_Score</t>
  </si>
  <si>
    <t>Average of Resolution_Score</t>
  </si>
  <si>
    <t>Average of Compliance_Score</t>
  </si>
  <si>
    <t>Starting Workforce</t>
  </si>
  <si>
    <t>Attrition%</t>
  </si>
  <si>
    <t>Agents Joined</t>
  </si>
  <si>
    <t>Agents Left</t>
  </si>
  <si>
    <t>Ending Workforce</t>
  </si>
  <si>
    <t>Jan</t>
  </si>
  <si>
    <t>Feb</t>
  </si>
  <si>
    <t>March</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</si>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</sst>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1" xfId="0" applyBorder="1" applyAlignment="1">
      <alignment horizontal="center"/>
    </xf>
    <xf numFmtId="20" fontId="0" fillId="0" borderId="1" xfId="0" applyNumberFormat="1" applyBorder="1" applyAlignment="1">
      <alignment horizontal="center"/>
    </xf>
    <xf numFmtId="14" fontId="0" fillId="0" borderId="2"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8" xfId="0" applyBorder="1" applyAlignment="1">
      <alignment horizontal="center"/>
    </xf>
    <xf numFmtId="20" fontId="0" fillId="0" borderId="8" xfId="0" applyNumberFormat="1" applyBorder="1" applyAlignment="1">
      <alignment horizontal="center"/>
    </xf>
    <xf numFmtId="0" fontId="0" fillId="0" borderId="9" xfId="0" applyBorder="1" applyAlignment="1">
      <alignment horizontal="center"/>
    </xf>
    <xf numFmtId="0" fontId="0" fillId="0" borderId="1" xfId="0" pivotButton="1" applyBorder="1"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9" fontId="0" fillId="0" borderId="1" xfId="1" applyFont="1" applyBorder="1" applyAlignment="1">
      <alignment horizontal="center"/>
    </xf>
    <xf numFmtId="0" fontId="2" fillId="0" borderId="1" xfId="0" applyFont="1" applyBorder="1" applyAlignment="1">
      <alignment horizontal="center" wrapText="1"/>
    </xf>
    <xf numFmtId="0" fontId="0" fillId="0" borderId="1" xfId="0" applyNumberFormat="1" applyBorder="1" applyAlignment="1">
      <alignment horizontal="center"/>
    </xf>
  </cellXfs>
  <cellStyles count="2">
    <cellStyle name="Normal" xfId="0" builtinId="0"/>
    <cellStyle name="Percent" xfId="1" builtinId="5"/>
  </cellStyles>
  <dxfs count="1728">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5" formatCode="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5" formatCode="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5" formatCode="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5" formatCode="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0" xr9:uid="{E2CFAB46-81BD-4C9E-99AF-B9FA2924D266}"/>
  </tableStyles>
  <colors>
    <mruColors>
      <color rgb="FF967293"/>
      <color rgb="FFFA605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[BPO Operations Report.xlsx]Agent_Performance!PivotTable1</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tint val="54000"/>
                <a:lumMod val="60000"/>
                <a:lumOff val="40000"/>
              </a:schemeClr>
            </a:solidFill>
            <a:ln>
              <a:noFill/>
            </a:ln>
            <a:effectLst>
              <a:glow rad="63500">
                <a:schemeClr val="accent5">
                  <a:tint val="54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tint val="77000"/>
                <a:lumMod val="60000"/>
                <a:lumOff val="40000"/>
              </a:schemeClr>
            </a:solidFill>
            <a:ln>
              <a:noFill/>
            </a:ln>
            <a:effectLst>
              <a:glow rad="63500">
                <a:schemeClr val="accent5">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shade val="76000"/>
                <a:lumMod val="60000"/>
                <a:lumOff val="40000"/>
              </a:schemeClr>
            </a:solidFill>
            <a:ln>
              <a:noFill/>
            </a:ln>
            <a:effectLst>
              <a:glow rad="63500">
                <a:schemeClr val="accent5">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shade val="53000"/>
                <a:lumMod val="60000"/>
                <a:lumOff val="40000"/>
              </a:schemeClr>
            </a:solidFill>
            <a:ln>
              <a:noFill/>
            </a:ln>
            <a:effectLst>
              <a:glow rad="63500">
                <a:schemeClr val="accent5">
                  <a:shade val="53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96169151312662E-2"/>
          <c:y val="0.17143299795858852"/>
          <c:w val="0.58748381452318466"/>
          <c:h val="0.65853091280256637"/>
        </c:manualLayout>
      </c:layout>
      <c:barChart>
        <c:barDir val="col"/>
        <c:grouping val="clustered"/>
        <c:varyColors val="0"/>
        <c:ser>
          <c:idx val="0"/>
          <c:order val="0"/>
          <c:tx>
            <c:strRef>
              <c:f>Agent_Performance!$B$1</c:f>
              <c:strCache>
                <c:ptCount val="1"/>
                <c:pt idx="0">
                  <c:v>  Total calls Handled </c:v>
                </c:pt>
              </c:strCache>
            </c:strRef>
          </c:tx>
          <c:spPr>
            <a:noFill/>
            <a:ln w="9525" cap="flat" cmpd="sng" algn="ctr">
              <a:solidFill>
                <a:schemeClr val="accent5">
                  <a:tint val="54000"/>
                </a:schemeClr>
              </a:solidFill>
              <a:miter lim="800000"/>
            </a:ln>
            <a:effectLst>
              <a:glow rad="63500">
                <a:schemeClr val="accent5">
                  <a:tint val="54000"/>
                  <a:satMod val="175000"/>
                  <a:alpha val="25000"/>
                </a:schemeClr>
              </a:glow>
            </a:effectLst>
          </c:spPr>
          <c:invertIfNegative val="0"/>
          <c:cat>
            <c:strRef>
              <c:f>Agent_Performance!$A$2:$A$6</c:f>
              <c:strCache>
                <c:ptCount val="4"/>
                <c:pt idx="0">
                  <c:v>Aman</c:v>
                </c:pt>
                <c:pt idx="1">
                  <c:v>Arjun</c:v>
                </c:pt>
                <c:pt idx="2">
                  <c:v>Priya</c:v>
                </c:pt>
                <c:pt idx="3">
                  <c:v>Rahul</c:v>
                </c:pt>
              </c:strCache>
            </c:strRef>
          </c:cat>
          <c:val>
            <c:numRef>
              <c:f>Agent_Performance!$B$2:$B$6</c:f>
              <c:numCache>
                <c:formatCode>General</c:formatCode>
                <c:ptCount val="4"/>
                <c:pt idx="0">
                  <c:v>270</c:v>
                </c:pt>
                <c:pt idx="1">
                  <c:v>297</c:v>
                </c:pt>
                <c:pt idx="2">
                  <c:v>337</c:v>
                </c:pt>
                <c:pt idx="3">
                  <c:v>293</c:v>
                </c:pt>
              </c:numCache>
            </c:numRef>
          </c:val>
          <c:extLst>
            <c:ext xmlns:c16="http://schemas.microsoft.com/office/drawing/2014/chart" uri="{C3380CC4-5D6E-409C-BE32-E72D297353CC}">
              <c16:uniqueId val="{00000000-4F16-43FA-B392-6923C3875335}"/>
            </c:ext>
          </c:extLst>
        </c:ser>
        <c:ser>
          <c:idx val="1"/>
          <c:order val="1"/>
          <c:tx>
            <c:strRef>
              <c:f>Agent_Performance!$C$1</c:f>
              <c:strCache>
                <c:ptCount val="1"/>
                <c:pt idx="0">
                  <c:v> Average AHT</c:v>
                </c:pt>
              </c:strCache>
            </c:strRef>
          </c:tx>
          <c:spPr>
            <a:noFill/>
            <a:ln w="9525" cap="flat" cmpd="sng" algn="ctr">
              <a:solidFill>
                <a:schemeClr val="accent5">
                  <a:tint val="77000"/>
                </a:schemeClr>
              </a:solidFill>
              <a:miter lim="800000"/>
            </a:ln>
            <a:effectLst>
              <a:glow rad="63500">
                <a:schemeClr val="accent5">
                  <a:tint val="77000"/>
                  <a:satMod val="175000"/>
                  <a:alpha val="25000"/>
                </a:schemeClr>
              </a:glow>
            </a:effectLst>
          </c:spPr>
          <c:invertIfNegative val="0"/>
          <c:cat>
            <c:strRef>
              <c:f>Agent_Performance!$A$2:$A$6</c:f>
              <c:strCache>
                <c:ptCount val="4"/>
                <c:pt idx="0">
                  <c:v>Aman</c:v>
                </c:pt>
                <c:pt idx="1">
                  <c:v>Arjun</c:v>
                </c:pt>
                <c:pt idx="2">
                  <c:v>Priya</c:v>
                </c:pt>
                <c:pt idx="3">
                  <c:v>Rahul</c:v>
                </c:pt>
              </c:strCache>
            </c:strRef>
          </c:cat>
          <c:val>
            <c:numRef>
              <c:f>Agent_Performance!$C$2:$C$6</c:f>
              <c:numCache>
                <c:formatCode>General</c:formatCode>
                <c:ptCount val="4"/>
                <c:pt idx="0">
                  <c:v>296</c:v>
                </c:pt>
                <c:pt idx="1">
                  <c:v>298.66666666666669</c:v>
                </c:pt>
                <c:pt idx="2">
                  <c:v>304.66666666666669</c:v>
                </c:pt>
                <c:pt idx="3">
                  <c:v>299.33333333333331</c:v>
                </c:pt>
              </c:numCache>
            </c:numRef>
          </c:val>
          <c:extLst>
            <c:ext xmlns:c16="http://schemas.microsoft.com/office/drawing/2014/chart" uri="{C3380CC4-5D6E-409C-BE32-E72D297353CC}">
              <c16:uniqueId val="{00000001-4F16-43FA-B392-6923C3875335}"/>
            </c:ext>
          </c:extLst>
        </c:ser>
        <c:ser>
          <c:idx val="2"/>
          <c:order val="2"/>
          <c:tx>
            <c:strRef>
              <c:f>Agent_Performance!$D$1</c:f>
              <c:strCache>
                <c:ptCount val="1"/>
                <c:pt idx="0">
                  <c:v> Average C-sat</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Agent_Performance!$A$2:$A$6</c:f>
              <c:strCache>
                <c:ptCount val="4"/>
                <c:pt idx="0">
                  <c:v>Aman</c:v>
                </c:pt>
                <c:pt idx="1">
                  <c:v>Arjun</c:v>
                </c:pt>
                <c:pt idx="2">
                  <c:v>Priya</c:v>
                </c:pt>
                <c:pt idx="3">
                  <c:v>Rahul</c:v>
                </c:pt>
              </c:strCache>
            </c:strRef>
          </c:cat>
          <c:val>
            <c:numRef>
              <c:f>Agent_Performance!$D$2:$D$6</c:f>
              <c:numCache>
                <c:formatCode>General</c:formatCode>
                <c:ptCount val="4"/>
                <c:pt idx="0">
                  <c:v>90.333333333333329</c:v>
                </c:pt>
                <c:pt idx="1">
                  <c:v>91.666666666666671</c:v>
                </c:pt>
                <c:pt idx="2">
                  <c:v>94.666666666666671</c:v>
                </c:pt>
                <c:pt idx="3">
                  <c:v>92.666666666666671</c:v>
                </c:pt>
              </c:numCache>
            </c:numRef>
          </c:val>
          <c:extLst>
            <c:ext xmlns:c16="http://schemas.microsoft.com/office/drawing/2014/chart" uri="{C3380CC4-5D6E-409C-BE32-E72D297353CC}">
              <c16:uniqueId val="{00000002-4F16-43FA-B392-6923C3875335}"/>
            </c:ext>
          </c:extLst>
        </c:ser>
        <c:ser>
          <c:idx val="3"/>
          <c:order val="3"/>
          <c:tx>
            <c:strRef>
              <c:f>Agent_Performance!$E$1</c:f>
              <c:strCache>
                <c:ptCount val="1"/>
                <c:pt idx="0">
                  <c:v> Average QA Score</c:v>
                </c:pt>
              </c:strCache>
            </c:strRef>
          </c:tx>
          <c:spPr>
            <a:noFill/>
            <a:ln w="9525" cap="flat" cmpd="sng" algn="ctr">
              <a:solidFill>
                <a:schemeClr val="accent5">
                  <a:shade val="76000"/>
                </a:schemeClr>
              </a:solidFill>
              <a:miter lim="800000"/>
            </a:ln>
            <a:effectLst>
              <a:glow rad="63500">
                <a:schemeClr val="accent5">
                  <a:shade val="76000"/>
                  <a:satMod val="175000"/>
                  <a:alpha val="25000"/>
                </a:schemeClr>
              </a:glow>
            </a:effectLst>
          </c:spPr>
          <c:invertIfNegative val="0"/>
          <c:cat>
            <c:strRef>
              <c:f>Agent_Performance!$A$2:$A$6</c:f>
              <c:strCache>
                <c:ptCount val="4"/>
                <c:pt idx="0">
                  <c:v>Aman</c:v>
                </c:pt>
                <c:pt idx="1">
                  <c:v>Arjun</c:v>
                </c:pt>
                <c:pt idx="2">
                  <c:v>Priya</c:v>
                </c:pt>
                <c:pt idx="3">
                  <c:v>Rahul</c:v>
                </c:pt>
              </c:strCache>
            </c:strRef>
          </c:cat>
          <c:val>
            <c:numRef>
              <c:f>Agent_Performance!$E$2:$E$6</c:f>
              <c:numCache>
                <c:formatCode>General</c:formatCode>
                <c:ptCount val="4"/>
                <c:pt idx="0">
                  <c:v>85.666666666666671</c:v>
                </c:pt>
                <c:pt idx="1">
                  <c:v>87.666666666666671</c:v>
                </c:pt>
                <c:pt idx="2">
                  <c:v>91.333333333333329</c:v>
                </c:pt>
                <c:pt idx="3">
                  <c:v>88.666666666666671</c:v>
                </c:pt>
              </c:numCache>
            </c:numRef>
          </c:val>
          <c:extLst>
            <c:ext xmlns:c16="http://schemas.microsoft.com/office/drawing/2014/chart" uri="{C3380CC4-5D6E-409C-BE32-E72D297353CC}">
              <c16:uniqueId val="{00000003-4F16-43FA-B392-6923C3875335}"/>
            </c:ext>
          </c:extLst>
        </c:ser>
        <c:ser>
          <c:idx val="4"/>
          <c:order val="4"/>
          <c:tx>
            <c:strRef>
              <c:f>Agent_Performance!$F$1</c:f>
              <c:strCache>
                <c:ptCount val="1"/>
                <c:pt idx="0">
                  <c:v>Average Adherence_Percentage</c:v>
                </c:pt>
              </c:strCache>
            </c:strRef>
          </c:tx>
          <c:spPr>
            <a:noFill/>
            <a:ln w="9525" cap="flat" cmpd="sng" algn="ctr">
              <a:solidFill>
                <a:schemeClr val="accent5">
                  <a:shade val="53000"/>
                </a:schemeClr>
              </a:solidFill>
              <a:miter lim="800000"/>
            </a:ln>
            <a:effectLst>
              <a:glow rad="63500">
                <a:schemeClr val="accent5">
                  <a:shade val="53000"/>
                  <a:satMod val="175000"/>
                  <a:alpha val="25000"/>
                </a:schemeClr>
              </a:glow>
            </a:effectLst>
          </c:spPr>
          <c:invertIfNegative val="0"/>
          <c:cat>
            <c:strRef>
              <c:f>Agent_Performance!$A$2:$A$6</c:f>
              <c:strCache>
                <c:ptCount val="4"/>
                <c:pt idx="0">
                  <c:v>Aman</c:v>
                </c:pt>
                <c:pt idx="1">
                  <c:v>Arjun</c:v>
                </c:pt>
                <c:pt idx="2">
                  <c:v>Priya</c:v>
                </c:pt>
                <c:pt idx="3">
                  <c:v>Rahul</c:v>
                </c:pt>
              </c:strCache>
            </c:strRef>
          </c:cat>
          <c:val>
            <c:numRef>
              <c:f>Agent_Performance!$F$2:$F$6</c:f>
              <c:numCache>
                <c:formatCode>General</c:formatCode>
                <c:ptCount val="4"/>
                <c:pt idx="0">
                  <c:v>93.666666666666671</c:v>
                </c:pt>
                <c:pt idx="1">
                  <c:v>95</c:v>
                </c:pt>
                <c:pt idx="2">
                  <c:v>97</c:v>
                </c:pt>
                <c:pt idx="3">
                  <c:v>96</c:v>
                </c:pt>
              </c:numCache>
            </c:numRef>
          </c:val>
          <c:extLst>
            <c:ext xmlns:c16="http://schemas.microsoft.com/office/drawing/2014/chart" uri="{C3380CC4-5D6E-409C-BE32-E72D297353CC}">
              <c16:uniqueId val="{00000004-4F16-43FA-B392-6923C3875335}"/>
            </c:ext>
          </c:extLst>
        </c:ser>
        <c:dLbls>
          <c:dLblPos val="outEnd"/>
          <c:showLegendKey val="0"/>
          <c:showVal val="0"/>
          <c:showCatName val="0"/>
          <c:showSerName val="0"/>
          <c:showPercent val="0"/>
          <c:showBubbleSize val="0"/>
        </c:dLbls>
        <c:gapWidth val="315"/>
        <c:overlap val="-40"/>
        <c:axId val="16968672"/>
        <c:axId val="16976832"/>
      </c:barChart>
      <c:catAx>
        <c:axId val="16968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76832"/>
        <c:crosses val="autoZero"/>
        <c:auto val="1"/>
        <c:lblAlgn val="ctr"/>
        <c:lblOffset val="100"/>
        <c:noMultiLvlLbl val="0"/>
      </c:catAx>
      <c:valAx>
        <c:axId val="1697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6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[BPO Operations Report.xlsx]Call_Volume!PivotTable2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159364225813241E-3"/>
          <c:y val="0.40152726444908671"/>
          <c:w val="0.909688013136289"/>
          <c:h val="0.41802935970213023"/>
        </c:manualLayout>
      </c:layout>
      <c:pie3DChart>
        <c:varyColors val="1"/>
        <c:ser>
          <c:idx val="0"/>
          <c:order val="0"/>
          <c:tx>
            <c:strRef>
              <c:f>Call_Volume!$B$1</c:f>
              <c:strCache>
                <c:ptCount val="1"/>
                <c:pt idx="0">
                  <c:v>Sum of Calls_Offered</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2E-4BF8-9673-CAD1807D546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2E-4BF8-9673-CAD1807D5461}"/>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2E-4BF8-9673-CAD1807D5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Call_Volume!$A$2:$A$6</c:f>
              <c:multiLvlStrCache>
                <c:ptCount val="3"/>
                <c:lvl>
                  <c:pt idx="0">
                    <c:v>01-Apr</c:v>
                  </c:pt>
                  <c:pt idx="1">
                    <c:v>02-Apr</c:v>
                  </c:pt>
                  <c:pt idx="2">
                    <c:v>03-Apr</c:v>
                  </c:pt>
                </c:lvl>
                <c:lvl>
                  <c:pt idx="0">
                    <c:v>Apr</c:v>
                  </c:pt>
                </c:lvl>
              </c:multiLvlStrCache>
            </c:multiLvlStrRef>
          </c:cat>
          <c:val>
            <c:numRef>
              <c:f>Call_Volume!$B$2:$B$6</c:f>
              <c:numCache>
                <c:formatCode>General</c:formatCode>
                <c:ptCount val="3"/>
                <c:pt idx="0">
                  <c:v>449</c:v>
                </c:pt>
                <c:pt idx="1">
                  <c:v>471</c:v>
                </c:pt>
                <c:pt idx="2">
                  <c:v>467</c:v>
                </c:pt>
              </c:numCache>
            </c:numRef>
          </c:val>
          <c:extLst>
            <c:ext xmlns:c16="http://schemas.microsoft.com/office/drawing/2014/chart" uri="{C3380CC4-5D6E-409C-BE32-E72D297353CC}">
              <c16:uniqueId val="{00000006-322E-4BF8-9673-CAD1807D5461}"/>
            </c:ext>
          </c:extLst>
        </c:ser>
        <c:ser>
          <c:idx val="1"/>
          <c:order val="1"/>
          <c:tx>
            <c:strRef>
              <c:f>Call_Volume!$C$1</c:f>
              <c:strCache>
                <c:ptCount val="1"/>
                <c:pt idx="0">
                  <c:v>Sum of Calls_Handled</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322E-4BF8-9673-CAD1807D546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322E-4BF8-9673-CAD1807D5461}"/>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322E-4BF8-9673-CAD1807D5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Call_Volume!$A$2:$A$6</c:f>
              <c:multiLvlStrCache>
                <c:ptCount val="3"/>
                <c:lvl>
                  <c:pt idx="0">
                    <c:v>01-Apr</c:v>
                  </c:pt>
                  <c:pt idx="1">
                    <c:v>02-Apr</c:v>
                  </c:pt>
                  <c:pt idx="2">
                    <c:v>03-Apr</c:v>
                  </c:pt>
                </c:lvl>
                <c:lvl>
                  <c:pt idx="0">
                    <c:v>Apr</c:v>
                  </c:pt>
                </c:lvl>
              </c:multiLvlStrCache>
            </c:multiLvlStrRef>
          </c:cat>
          <c:val>
            <c:numRef>
              <c:f>Call_Volume!$C$2:$C$6</c:f>
              <c:numCache>
                <c:formatCode>General</c:formatCode>
                <c:ptCount val="3"/>
                <c:pt idx="0">
                  <c:v>390</c:v>
                </c:pt>
                <c:pt idx="1">
                  <c:v>403</c:v>
                </c:pt>
                <c:pt idx="2">
                  <c:v>404</c:v>
                </c:pt>
              </c:numCache>
            </c:numRef>
          </c:val>
          <c:extLst>
            <c:ext xmlns:c16="http://schemas.microsoft.com/office/drawing/2014/chart" uri="{C3380CC4-5D6E-409C-BE32-E72D297353CC}">
              <c16:uniqueId val="{0000000D-322E-4BF8-9673-CAD1807D5461}"/>
            </c:ext>
          </c:extLst>
        </c:ser>
        <c:ser>
          <c:idx val="2"/>
          <c:order val="2"/>
          <c:tx>
            <c:strRef>
              <c:f>Call_Volume!$D$1</c:f>
              <c:strCache>
                <c:ptCount val="1"/>
                <c:pt idx="0">
                  <c:v>Sum of Calls_Abandoned</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22E-4BF8-9673-CAD1807D546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22E-4BF8-9673-CAD1807D5461}"/>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22E-4BF8-9673-CAD1807D5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Call_Volume!$A$2:$A$6</c:f>
              <c:multiLvlStrCache>
                <c:ptCount val="3"/>
                <c:lvl>
                  <c:pt idx="0">
                    <c:v>01-Apr</c:v>
                  </c:pt>
                  <c:pt idx="1">
                    <c:v>02-Apr</c:v>
                  </c:pt>
                  <c:pt idx="2">
                    <c:v>03-Apr</c:v>
                  </c:pt>
                </c:lvl>
                <c:lvl>
                  <c:pt idx="0">
                    <c:v>Apr</c:v>
                  </c:pt>
                </c:lvl>
              </c:multiLvlStrCache>
            </c:multiLvlStrRef>
          </c:cat>
          <c:val>
            <c:numRef>
              <c:f>Call_Volume!$D$2:$D$6</c:f>
              <c:numCache>
                <c:formatCode>General</c:formatCode>
                <c:ptCount val="3"/>
                <c:pt idx="0">
                  <c:v>21</c:v>
                </c:pt>
                <c:pt idx="1">
                  <c:v>20</c:v>
                </c:pt>
                <c:pt idx="2">
                  <c:v>21</c:v>
                </c:pt>
              </c:numCache>
            </c:numRef>
          </c:val>
          <c:extLst>
            <c:ext xmlns:c16="http://schemas.microsoft.com/office/drawing/2014/chart" uri="{C3380CC4-5D6E-409C-BE32-E72D297353CC}">
              <c16:uniqueId val="{00000014-322E-4BF8-9673-CAD1807D546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6758666036310679"/>
          <c:y val="0.29490767601418244"/>
          <c:w val="0.80072032662583847"/>
          <c:h val="0.35109623521034633"/>
        </c:manualLayout>
      </c:layout>
      <c:bar3DChart>
        <c:barDir val="col"/>
        <c:grouping val="clustered"/>
        <c:varyColors val="0"/>
        <c:ser>
          <c:idx val="0"/>
          <c:order val="0"/>
          <c:tx>
            <c:strRef>
              <c:f>Attrition!$A$2</c:f>
              <c:strCache>
                <c:ptCount val="1"/>
                <c:pt idx="0">
                  <c:v>Jan</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Attrition!$B$1:$G$1</c:f>
              <c:strCache>
                <c:ptCount val="5"/>
                <c:pt idx="0">
                  <c:v>Starting Workforce</c:v>
                </c:pt>
                <c:pt idx="1">
                  <c:v>Agents Joined</c:v>
                </c:pt>
                <c:pt idx="2">
                  <c:v>Agents Left</c:v>
                </c:pt>
                <c:pt idx="3">
                  <c:v>Ending Workforce</c:v>
                </c:pt>
                <c:pt idx="4">
                  <c:v>Attrition%</c:v>
                </c:pt>
              </c:strCache>
            </c:strRef>
          </c:cat>
          <c:val>
            <c:numRef>
              <c:f>Attrition!$B$2:$G$2</c:f>
              <c:numCache>
                <c:formatCode>General</c:formatCode>
                <c:ptCount val="5"/>
                <c:pt idx="0">
                  <c:v>50</c:v>
                </c:pt>
                <c:pt idx="1">
                  <c:v>5</c:v>
                </c:pt>
                <c:pt idx="2">
                  <c:v>7</c:v>
                </c:pt>
                <c:pt idx="3">
                  <c:v>48</c:v>
                </c:pt>
                <c:pt idx="4" formatCode="0%">
                  <c:v>0.14000000000000001</c:v>
                </c:pt>
              </c:numCache>
            </c:numRef>
          </c:val>
          <c:extLst>
            <c:ext xmlns:c16="http://schemas.microsoft.com/office/drawing/2014/chart" uri="{C3380CC4-5D6E-409C-BE32-E72D297353CC}">
              <c16:uniqueId val="{00000000-19CD-4A55-A1AC-4C1F801E5BC9}"/>
            </c:ext>
          </c:extLst>
        </c:ser>
        <c:ser>
          <c:idx val="1"/>
          <c:order val="1"/>
          <c:tx>
            <c:strRef>
              <c:f>Attrition!$A$3</c:f>
              <c:strCache>
                <c:ptCount val="1"/>
                <c:pt idx="0">
                  <c:v>Feb</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Attrition!$B$1:$G$1</c:f>
              <c:strCache>
                <c:ptCount val="5"/>
                <c:pt idx="0">
                  <c:v>Starting Workforce</c:v>
                </c:pt>
                <c:pt idx="1">
                  <c:v>Agents Joined</c:v>
                </c:pt>
                <c:pt idx="2">
                  <c:v>Agents Left</c:v>
                </c:pt>
                <c:pt idx="3">
                  <c:v>Ending Workforce</c:v>
                </c:pt>
                <c:pt idx="4">
                  <c:v>Attrition%</c:v>
                </c:pt>
              </c:strCache>
            </c:strRef>
          </c:cat>
          <c:val>
            <c:numRef>
              <c:f>Attrition!$B$3:$G$3</c:f>
              <c:numCache>
                <c:formatCode>General</c:formatCode>
                <c:ptCount val="5"/>
                <c:pt idx="0">
                  <c:v>48</c:v>
                </c:pt>
                <c:pt idx="1">
                  <c:v>4</c:v>
                </c:pt>
                <c:pt idx="2">
                  <c:v>2</c:v>
                </c:pt>
                <c:pt idx="3">
                  <c:v>50</c:v>
                </c:pt>
                <c:pt idx="4" formatCode="0%">
                  <c:v>4.1666666666666657E-2</c:v>
                </c:pt>
              </c:numCache>
            </c:numRef>
          </c:val>
          <c:extLst>
            <c:ext xmlns:c16="http://schemas.microsoft.com/office/drawing/2014/chart" uri="{C3380CC4-5D6E-409C-BE32-E72D297353CC}">
              <c16:uniqueId val="{00000001-19CD-4A55-A1AC-4C1F801E5BC9}"/>
            </c:ext>
          </c:extLst>
        </c:ser>
        <c:ser>
          <c:idx val="2"/>
          <c:order val="2"/>
          <c:tx>
            <c:strRef>
              <c:f>Attrition!$A$4</c:f>
              <c:strCache>
                <c:ptCount val="1"/>
                <c:pt idx="0">
                  <c:v>March</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Attrition!$B$1:$G$1</c:f>
              <c:strCache>
                <c:ptCount val="5"/>
                <c:pt idx="0">
                  <c:v>Starting Workforce</c:v>
                </c:pt>
                <c:pt idx="1">
                  <c:v>Agents Joined</c:v>
                </c:pt>
                <c:pt idx="2">
                  <c:v>Agents Left</c:v>
                </c:pt>
                <c:pt idx="3">
                  <c:v>Ending Workforce</c:v>
                </c:pt>
                <c:pt idx="4">
                  <c:v>Attrition%</c:v>
                </c:pt>
              </c:strCache>
            </c:strRef>
          </c:cat>
          <c:val>
            <c:numRef>
              <c:f>Attrition!$B$4:$G$4</c:f>
              <c:numCache>
                <c:formatCode>General</c:formatCode>
                <c:ptCount val="5"/>
                <c:pt idx="0">
                  <c:v>52</c:v>
                </c:pt>
                <c:pt idx="1">
                  <c:v>6</c:v>
                </c:pt>
                <c:pt idx="2">
                  <c:v>4</c:v>
                </c:pt>
                <c:pt idx="3">
                  <c:v>54</c:v>
                </c:pt>
                <c:pt idx="4" formatCode="0%">
                  <c:v>7.6923076923076927E-2</c:v>
                </c:pt>
              </c:numCache>
            </c:numRef>
          </c:val>
          <c:extLst>
            <c:ext xmlns:c16="http://schemas.microsoft.com/office/drawing/2014/chart" uri="{C3380CC4-5D6E-409C-BE32-E72D297353CC}">
              <c16:uniqueId val="{00000002-19CD-4A55-A1AC-4C1F801E5BC9}"/>
            </c:ext>
          </c:extLst>
        </c:ser>
        <c:dLbls>
          <c:showLegendKey val="0"/>
          <c:showVal val="0"/>
          <c:showCatName val="0"/>
          <c:showSerName val="0"/>
          <c:showPercent val="0"/>
          <c:showBubbleSize val="0"/>
        </c:dLbls>
        <c:gapWidth val="150"/>
        <c:shape val="box"/>
        <c:axId val="143894880"/>
        <c:axId val="143904000"/>
        <c:axId val="0"/>
      </c:bar3DChart>
      <c:catAx>
        <c:axId val="143894880"/>
        <c:scaling>
          <c:orientation val="minMax"/>
        </c:scaling>
        <c:delete val="1"/>
        <c:axPos val="b"/>
        <c:numFmt formatCode="General" sourceLinked="1"/>
        <c:majorTickMark val="out"/>
        <c:minorTickMark val="none"/>
        <c:tickLblPos val="nextTo"/>
        <c:crossAx val="143904000"/>
        <c:crosses val="autoZero"/>
        <c:auto val="1"/>
        <c:lblAlgn val="ctr"/>
        <c:lblOffset val="100"/>
        <c:noMultiLvlLbl val="0"/>
      </c:catAx>
      <c:valAx>
        <c:axId val="143904000"/>
        <c:scaling>
          <c:orientation val="minMax"/>
        </c:scaling>
        <c:delete val="1"/>
        <c:axPos val="l"/>
        <c:numFmt formatCode="General" sourceLinked="1"/>
        <c:majorTickMark val="out"/>
        <c:minorTickMark val="none"/>
        <c:tickLblPos val="nextTo"/>
        <c:crossAx val="1438948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[BPO Operations Report.xlsx]Quality analysis!PivotTable4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pivotFmt>
      <c:pivotFmt>
        <c:idx val="32"/>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pivotFmt>
      <c:pivotFmt>
        <c:idx val="38"/>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pivotFmt>
      <c:pivotFmt>
        <c:idx val="4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pivotFmt>
      <c:pivotFmt>
        <c:idx val="5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373397290855887"/>
          <c:y val="0.18948014782403472"/>
          <c:w val="0.42900262467191602"/>
          <c:h val="0.71500437445319331"/>
        </c:manualLayout>
      </c:layout>
      <c:doughnutChart>
        <c:varyColors val="1"/>
        <c:ser>
          <c:idx val="0"/>
          <c:order val="0"/>
          <c:tx>
            <c:strRef>
              <c:f>'Quality analysis'!$B$3</c:f>
              <c:strCache>
                <c:ptCount val="1"/>
                <c:pt idx="0">
                  <c:v>Average of QA_Score</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88-4AF9-867E-984E5DCD4527}"/>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88-4AF9-867E-984E5DCD4527}"/>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88-4AF9-867E-984E5DCD4527}"/>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88-4AF9-867E-984E5DCD4527}"/>
              </c:ext>
            </c:extLst>
          </c:dPt>
          <c:dPt>
            <c:idx val="4"/>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C88-4AF9-867E-984E5DCD4527}"/>
              </c:ext>
            </c:extLst>
          </c:dPt>
          <c:cat>
            <c:strRef>
              <c:f>'Quality analysis'!$A$4:$A$8</c:f>
              <c:strCache>
                <c:ptCount val="4"/>
                <c:pt idx="0">
                  <c:v>Aman</c:v>
                </c:pt>
                <c:pt idx="1">
                  <c:v>Arjun</c:v>
                </c:pt>
                <c:pt idx="2">
                  <c:v>Priya</c:v>
                </c:pt>
                <c:pt idx="3">
                  <c:v>Rahul</c:v>
                </c:pt>
              </c:strCache>
            </c:strRef>
          </c:cat>
          <c:val>
            <c:numRef>
              <c:f>'Quality analysis'!$B$4:$B$8</c:f>
              <c:numCache>
                <c:formatCode>General</c:formatCode>
                <c:ptCount val="4"/>
                <c:pt idx="0">
                  <c:v>85.666666666666671</c:v>
                </c:pt>
                <c:pt idx="1">
                  <c:v>87.666666666666671</c:v>
                </c:pt>
                <c:pt idx="2">
                  <c:v>91.333333333333329</c:v>
                </c:pt>
                <c:pt idx="3">
                  <c:v>88.666666666666671</c:v>
                </c:pt>
              </c:numCache>
            </c:numRef>
          </c:val>
          <c:extLst>
            <c:ext xmlns:c16="http://schemas.microsoft.com/office/drawing/2014/chart" uri="{C3380CC4-5D6E-409C-BE32-E72D297353CC}">
              <c16:uniqueId val="{0000000A-7C88-4AF9-867E-984E5DCD4527}"/>
            </c:ext>
          </c:extLst>
        </c:ser>
        <c:ser>
          <c:idx val="1"/>
          <c:order val="1"/>
          <c:tx>
            <c:strRef>
              <c:f>'Quality analysis'!$C$3</c:f>
              <c:strCache>
                <c:ptCount val="1"/>
                <c:pt idx="0">
                  <c:v>Average of Greeting_Score</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7C88-4AF9-867E-984E5DCD4527}"/>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7C88-4AF9-867E-984E5DCD4527}"/>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7C88-4AF9-867E-984E5DCD4527}"/>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7C88-4AF9-867E-984E5DCD4527}"/>
              </c:ext>
            </c:extLst>
          </c:dPt>
          <c:dPt>
            <c:idx val="4"/>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7C88-4AF9-867E-984E5DCD4527}"/>
              </c:ext>
            </c:extLst>
          </c:dPt>
          <c:cat>
            <c:strRef>
              <c:f>'Quality analysis'!$A$4:$A$8</c:f>
              <c:strCache>
                <c:ptCount val="4"/>
                <c:pt idx="0">
                  <c:v>Aman</c:v>
                </c:pt>
                <c:pt idx="1">
                  <c:v>Arjun</c:v>
                </c:pt>
                <c:pt idx="2">
                  <c:v>Priya</c:v>
                </c:pt>
                <c:pt idx="3">
                  <c:v>Rahul</c:v>
                </c:pt>
              </c:strCache>
            </c:strRef>
          </c:cat>
          <c:val>
            <c:numRef>
              <c:f>'Quality analysis'!$C$4:$C$8</c:f>
              <c:numCache>
                <c:formatCode>General</c:formatCode>
                <c:ptCount val="4"/>
                <c:pt idx="0">
                  <c:v>8</c:v>
                </c:pt>
                <c:pt idx="1">
                  <c:v>9</c:v>
                </c:pt>
                <c:pt idx="2">
                  <c:v>9.6666666666666661</c:v>
                </c:pt>
                <c:pt idx="3">
                  <c:v>9</c:v>
                </c:pt>
              </c:numCache>
            </c:numRef>
          </c:val>
          <c:extLst>
            <c:ext xmlns:c16="http://schemas.microsoft.com/office/drawing/2014/chart" uri="{C3380CC4-5D6E-409C-BE32-E72D297353CC}">
              <c16:uniqueId val="{00000015-7C88-4AF9-867E-984E5DCD4527}"/>
            </c:ext>
          </c:extLst>
        </c:ser>
        <c:ser>
          <c:idx val="2"/>
          <c:order val="2"/>
          <c:tx>
            <c:strRef>
              <c:f>'Quality analysis'!$D$3</c:f>
              <c:strCache>
                <c:ptCount val="1"/>
                <c:pt idx="0">
                  <c:v>Average of Resolution_Score</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C88-4AF9-867E-984E5DCD4527}"/>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C88-4AF9-867E-984E5DCD4527}"/>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C88-4AF9-867E-984E5DCD4527}"/>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C88-4AF9-867E-984E5DCD4527}"/>
              </c:ext>
            </c:extLst>
          </c:dPt>
          <c:dPt>
            <c:idx val="4"/>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C88-4AF9-867E-984E5DCD4527}"/>
              </c:ext>
            </c:extLst>
          </c:dPt>
          <c:cat>
            <c:strRef>
              <c:f>'Quality analysis'!$A$4:$A$8</c:f>
              <c:strCache>
                <c:ptCount val="4"/>
                <c:pt idx="0">
                  <c:v>Aman</c:v>
                </c:pt>
                <c:pt idx="1">
                  <c:v>Arjun</c:v>
                </c:pt>
                <c:pt idx="2">
                  <c:v>Priya</c:v>
                </c:pt>
                <c:pt idx="3">
                  <c:v>Rahul</c:v>
                </c:pt>
              </c:strCache>
            </c:strRef>
          </c:cat>
          <c:val>
            <c:numRef>
              <c:f>'Quality analysis'!$D$4:$D$8</c:f>
              <c:numCache>
                <c:formatCode>General</c:formatCode>
                <c:ptCount val="4"/>
                <c:pt idx="0">
                  <c:v>8</c:v>
                </c:pt>
                <c:pt idx="1">
                  <c:v>9</c:v>
                </c:pt>
                <c:pt idx="2">
                  <c:v>9</c:v>
                </c:pt>
                <c:pt idx="3">
                  <c:v>9</c:v>
                </c:pt>
              </c:numCache>
            </c:numRef>
          </c:val>
          <c:extLst>
            <c:ext xmlns:c16="http://schemas.microsoft.com/office/drawing/2014/chart" uri="{C3380CC4-5D6E-409C-BE32-E72D297353CC}">
              <c16:uniqueId val="{00000020-7C88-4AF9-867E-984E5DCD4527}"/>
            </c:ext>
          </c:extLst>
        </c:ser>
        <c:ser>
          <c:idx val="3"/>
          <c:order val="3"/>
          <c:tx>
            <c:strRef>
              <c:f>'Quality analysis'!$E$3</c:f>
              <c:strCache>
                <c:ptCount val="1"/>
                <c:pt idx="0">
                  <c:v>Average of Compliance_Score</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7C88-4AF9-867E-984E5DCD4527}"/>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7C88-4AF9-867E-984E5DCD4527}"/>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7C88-4AF9-867E-984E5DCD4527}"/>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7C88-4AF9-867E-984E5DCD4527}"/>
              </c:ext>
            </c:extLst>
          </c:dPt>
          <c:dPt>
            <c:idx val="4"/>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7C88-4AF9-867E-984E5DCD4527}"/>
              </c:ext>
            </c:extLst>
          </c:dPt>
          <c:cat>
            <c:strRef>
              <c:f>'Quality analysis'!$A$4:$A$8</c:f>
              <c:strCache>
                <c:ptCount val="4"/>
                <c:pt idx="0">
                  <c:v>Aman</c:v>
                </c:pt>
                <c:pt idx="1">
                  <c:v>Arjun</c:v>
                </c:pt>
                <c:pt idx="2">
                  <c:v>Priya</c:v>
                </c:pt>
                <c:pt idx="3">
                  <c:v>Rahul</c:v>
                </c:pt>
              </c:strCache>
            </c:strRef>
          </c:cat>
          <c:val>
            <c:numRef>
              <c:f>'Quality analysis'!$E$4:$E$8</c:f>
              <c:numCache>
                <c:formatCode>General</c:formatCode>
                <c:ptCount val="4"/>
                <c:pt idx="0">
                  <c:v>9</c:v>
                </c:pt>
                <c:pt idx="1">
                  <c:v>9</c:v>
                </c:pt>
                <c:pt idx="2">
                  <c:v>9</c:v>
                </c:pt>
                <c:pt idx="3">
                  <c:v>9</c:v>
                </c:pt>
              </c:numCache>
            </c:numRef>
          </c:val>
          <c:extLst>
            <c:ext xmlns:c16="http://schemas.microsoft.com/office/drawing/2014/chart" uri="{C3380CC4-5D6E-409C-BE32-E72D297353CC}">
              <c16:uniqueId val="{0000002B-7C88-4AF9-867E-984E5DCD45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342900</xdr:colOff>
      <xdr:row>1</xdr:row>
      <xdr:rowOff>137160</xdr:rowOff>
    </xdr:from>
    <xdr:to>
      <xdr:col>23</xdr:col>
      <xdr:colOff>182880</xdr:colOff>
      <xdr:row>30</xdr:row>
      <xdr:rowOff>53640</xdr:rowOff>
    </xdr:to>
    <xdr:sp macro="" textlink="">
      <xdr:nvSpPr>
        <xdr:cNvPr id="5" name="Rectangle: Rounded Corners 4">
          <a:extLst>
            <a:ext uri="{FF2B5EF4-FFF2-40B4-BE49-F238E27FC236}">
              <a16:creationId xmlns:a16="http://schemas.microsoft.com/office/drawing/2014/main" id="{8BFFBB50-9B56-1B53-C1AB-3C8B754EA16D}"/>
            </a:ext>
          </a:extLst>
        </xdr:cNvPr>
        <xdr:cNvSpPr/>
      </xdr:nvSpPr>
      <xdr:spPr>
        <a:xfrm>
          <a:off x="342900" y="320040"/>
          <a:ext cx="13860780" cy="52200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wrap="none" rtlCol="0" anchor="t"/>
        <a:lstStyle/>
        <a:p>
          <a:pPr algn="l"/>
          <a:endParaRPr lang="en-IN" sz="1100"/>
        </a:p>
      </xdr:txBody>
    </xdr:sp>
    <xdr:clientData fLocksWithSheet="0"/>
  </xdr:twoCellAnchor>
  <xdr:twoCellAnchor>
    <xdr:from>
      <xdr:col>4</xdr:col>
      <xdr:colOff>586740</xdr:colOff>
      <xdr:row>2</xdr:row>
      <xdr:rowOff>60960</xdr:rowOff>
    </xdr:from>
    <xdr:to>
      <xdr:col>8</xdr:col>
      <xdr:colOff>7620</xdr:colOff>
      <xdr:row>7</xdr:row>
      <xdr:rowOff>83820</xdr:rowOff>
    </xdr:to>
    <xdr:sp macro="" textlink="">
      <xdr:nvSpPr>
        <xdr:cNvPr id="6" name="Rectangle: Rounded Corners 5">
          <a:extLst>
            <a:ext uri="{FF2B5EF4-FFF2-40B4-BE49-F238E27FC236}">
              <a16:creationId xmlns:a16="http://schemas.microsoft.com/office/drawing/2014/main" id="{C6758DFD-48EB-917C-F29E-57C3DAF244B7}"/>
            </a:ext>
          </a:extLst>
        </xdr:cNvPr>
        <xdr:cNvSpPr/>
      </xdr:nvSpPr>
      <xdr:spPr>
        <a:xfrm>
          <a:off x="3025140" y="426720"/>
          <a:ext cx="1859280" cy="93726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30480</xdr:rowOff>
    </xdr:from>
    <xdr:to>
      <xdr:col>7</xdr:col>
      <xdr:colOff>236220</xdr:colOff>
      <xdr:row>4</xdr:row>
      <xdr:rowOff>76200</xdr:rowOff>
    </xdr:to>
    <xdr:sp macro="" textlink="">
      <xdr:nvSpPr>
        <xdr:cNvPr id="7" name="TextBox 6">
          <a:extLst>
            <a:ext uri="{FF2B5EF4-FFF2-40B4-BE49-F238E27FC236}">
              <a16:creationId xmlns:a16="http://schemas.microsoft.com/office/drawing/2014/main" id="{F58773EB-2B23-B614-431D-6DB620B2AD7D}"/>
            </a:ext>
          </a:extLst>
        </xdr:cNvPr>
        <xdr:cNvSpPr txBox="1"/>
      </xdr:nvSpPr>
      <xdr:spPr>
        <a:xfrm>
          <a:off x="3390900" y="579120"/>
          <a:ext cx="1112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a:t>
          </a:r>
          <a:r>
            <a:rPr lang="en-IN" sz="1100" baseline="0">
              <a:latin typeface="Arial Black" panose="020B0A04020102020204" pitchFamily="34" charset="0"/>
            </a:rPr>
            <a:t> Calls </a:t>
          </a:r>
        </a:p>
        <a:p>
          <a:endParaRPr lang="en-IN" sz="1100">
            <a:latin typeface="Arial Black" panose="020B0A04020102020204" pitchFamily="34" charset="0"/>
          </a:endParaRPr>
        </a:p>
      </xdr:txBody>
    </xdr:sp>
    <xdr:clientData/>
  </xdr:twoCellAnchor>
  <xdr:twoCellAnchor>
    <xdr:from>
      <xdr:col>5</xdr:col>
      <xdr:colOff>144780</xdr:colOff>
      <xdr:row>4</xdr:row>
      <xdr:rowOff>144780</xdr:rowOff>
    </xdr:from>
    <xdr:to>
      <xdr:col>7</xdr:col>
      <xdr:colOff>419100</xdr:colOff>
      <xdr:row>5</xdr:row>
      <xdr:rowOff>160020</xdr:rowOff>
    </xdr:to>
    <xdr:sp macro="" textlink="KPI_Summary!B2">
      <xdr:nvSpPr>
        <xdr:cNvPr id="8" name="TextBox 7">
          <a:extLst>
            <a:ext uri="{FF2B5EF4-FFF2-40B4-BE49-F238E27FC236}">
              <a16:creationId xmlns:a16="http://schemas.microsoft.com/office/drawing/2014/main" id="{3DF4DAEA-520B-7042-126F-602D6E075D57}"/>
            </a:ext>
          </a:extLst>
        </xdr:cNvPr>
        <xdr:cNvSpPr txBox="1"/>
      </xdr:nvSpPr>
      <xdr:spPr>
        <a:xfrm>
          <a:off x="3192780" y="876300"/>
          <a:ext cx="14935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BDC6A9-42AA-4CAE-8368-791BB6DD2AD8}" type="TxLink">
            <a:rPr lang="en-US" sz="1000" b="1" i="0" u="none" strike="noStrike">
              <a:solidFill>
                <a:srgbClr val="000000"/>
              </a:solidFill>
              <a:latin typeface="Arial Black" panose="020B0A04020102020204" pitchFamily="34" charset="0"/>
              <a:ea typeface="Calibri"/>
              <a:cs typeface="Calibri"/>
            </a:rPr>
            <a:pPr algn="ctr"/>
            <a:t>1512</a:t>
          </a:fld>
          <a:endParaRPr lang="en-IN" sz="1100">
            <a:latin typeface="Arial Black" panose="020B0A04020102020204" pitchFamily="34" charset="0"/>
          </a:endParaRPr>
        </a:p>
      </xdr:txBody>
    </xdr:sp>
    <xdr:clientData/>
  </xdr:twoCellAnchor>
  <xdr:twoCellAnchor>
    <xdr:from>
      <xdr:col>16</xdr:col>
      <xdr:colOff>396240</xdr:colOff>
      <xdr:row>2</xdr:row>
      <xdr:rowOff>68580</xdr:rowOff>
    </xdr:from>
    <xdr:to>
      <xdr:col>19</xdr:col>
      <xdr:colOff>426720</xdr:colOff>
      <xdr:row>7</xdr:row>
      <xdr:rowOff>91440</xdr:rowOff>
    </xdr:to>
    <xdr:sp macro="" textlink="">
      <xdr:nvSpPr>
        <xdr:cNvPr id="9" name="Rectangle: Rounded Corners 8">
          <a:extLst>
            <a:ext uri="{FF2B5EF4-FFF2-40B4-BE49-F238E27FC236}">
              <a16:creationId xmlns:a16="http://schemas.microsoft.com/office/drawing/2014/main" id="{DFF3368B-F7C0-4F2B-A283-4B951B137A61}"/>
            </a:ext>
          </a:extLst>
        </xdr:cNvPr>
        <xdr:cNvSpPr/>
      </xdr:nvSpPr>
      <xdr:spPr>
        <a:xfrm>
          <a:off x="10149840" y="434340"/>
          <a:ext cx="1859280" cy="93726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68580</xdr:colOff>
      <xdr:row>3</xdr:row>
      <xdr:rowOff>175260</xdr:rowOff>
    </xdr:from>
    <xdr:to>
      <xdr:col>5</xdr:col>
      <xdr:colOff>563880</xdr:colOff>
      <xdr:row>6</xdr:row>
      <xdr:rowOff>121920</xdr:rowOff>
    </xdr:to>
    <xdr:pic>
      <xdr:nvPicPr>
        <xdr:cNvPr id="11" name="Graphic 10" descr="Call center with solid fill">
          <a:extLst>
            <a:ext uri="{FF2B5EF4-FFF2-40B4-BE49-F238E27FC236}">
              <a16:creationId xmlns:a16="http://schemas.microsoft.com/office/drawing/2014/main" id="{371095BC-3815-C98D-D95C-F87B5D293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16580" y="723900"/>
          <a:ext cx="495300" cy="495300"/>
        </a:xfrm>
        <a:prstGeom prst="rect">
          <a:avLst/>
        </a:prstGeom>
      </xdr:spPr>
    </xdr:pic>
    <xdr:clientData/>
  </xdr:twoCellAnchor>
  <xdr:twoCellAnchor>
    <xdr:from>
      <xdr:col>17</xdr:col>
      <xdr:colOff>358140</xdr:colOff>
      <xdr:row>2</xdr:row>
      <xdr:rowOff>129540</xdr:rowOff>
    </xdr:from>
    <xdr:to>
      <xdr:col>18</xdr:col>
      <xdr:colOff>586740</xdr:colOff>
      <xdr:row>4</xdr:row>
      <xdr:rowOff>30480</xdr:rowOff>
    </xdr:to>
    <xdr:sp macro="" textlink="">
      <xdr:nvSpPr>
        <xdr:cNvPr id="12" name="TextBox 11">
          <a:extLst>
            <a:ext uri="{FF2B5EF4-FFF2-40B4-BE49-F238E27FC236}">
              <a16:creationId xmlns:a16="http://schemas.microsoft.com/office/drawing/2014/main" id="{6BB4FA60-6262-92A2-5E6D-A0B474A6BFD7}"/>
            </a:ext>
          </a:extLst>
        </xdr:cNvPr>
        <xdr:cNvSpPr txBox="1"/>
      </xdr:nvSpPr>
      <xdr:spPr>
        <a:xfrm>
          <a:off x="10721340" y="495300"/>
          <a:ext cx="838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C-SAT</a:t>
          </a:r>
        </a:p>
      </xdr:txBody>
    </xdr:sp>
    <xdr:clientData/>
  </xdr:twoCellAnchor>
  <xdr:twoCellAnchor>
    <xdr:from>
      <xdr:col>17</xdr:col>
      <xdr:colOff>266700</xdr:colOff>
      <xdr:row>4</xdr:row>
      <xdr:rowOff>144780</xdr:rowOff>
    </xdr:from>
    <xdr:to>
      <xdr:col>19</xdr:col>
      <xdr:colOff>68580</xdr:colOff>
      <xdr:row>5</xdr:row>
      <xdr:rowOff>175260</xdr:rowOff>
    </xdr:to>
    <xdr:sp macro="" textlink="KPI_Summary!B4">
      <xdr:nvSpPr>
        <xdr:cNvPr id="14" name="TextBox 13">
          <a:extLst>
            <a:ext uri="{FF2B5EF4-FFF2-40B4-BE49-F238E27FC236}">
              <a16:creationId xmlns:a16="http://schemas.microsoft.com/office/drawing/2014/main" id="{FF4AD9E7-63A8-FF02-F442-2B86B392891E}"/>
            </a:ext>
          </a:extLst>
        </xdr:cNvPr>
        <xdr:cNvSpPr txBox="1"/>
      </xdr:nvSpPr>
      <xdr:spPr>
        <a:xfrm>
          <a:off x="10629900" y="876300"/>
          <a:ext cx="10210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316623-0030-4B1A-B4DE-9A68DD323F3D}" type="TxLink">
            <a:rPr lang="en-US" sz="1000" b="1" i="0" u="none" strike="noStrike">
              <a:solidFill>
                <a:srgbClr val="000000"/>
              </a:solidFill>
              <a:latin typeface="Arial Black" panose="020B0A04020102020204" pitchFamily="34" charset="0"/>
              <a:ea typeface="Calibri"/>
              <a:cs typeface="Calibri"/>
            </a:rPr>
            <a:pPr algn="ctr"/>
            <a:t>93</a:t>
          </a:fld>
          <a:endParaRPr lang="en-IN" sz="1100">
            <a:latin typeface="Arial Black" panose="020B0A04020102020204" pitchFamily="34" charset="0"/>
          </a:endParaRPr>
        </a:p>
      </xdr:txBody>
    </xdr:sp>
    <xdr:clientData/>
  </xdr:twoCellAnchor>
  <xdr:twoCellAnchor editAs="oneCell">
    <xdr:from>
      <xdr:col>16</xdr:col>
      <xdr:colOff>510540</xdr:colOff>
      <xdr:row>3</xdr:row>
      <xdr:rowOff>144780</xdr:rowOff>
    </xdr:from>
    <xdr:to>
      <xdr:col>17</xdr:col>
      <xdr:colOff>403860</xdr:colOff>
      <xdr:row>6</xdr:row>
      <xdr:rowOff>99060</xdr:rowOff>
    </xdr:to>
    <xdr:pic>
      <xdr:nvPicPr>
        <xdr:cNvPr id="16" name="Graphic 15" descr="Angel face with solid fill with solid fill">
          <a:extLst>
            <a:ext uri="{FF2B5EF4-FFF2-40B4-BE49-F238E27FC236}">
              <a16:creationId xmlns:a16="http://schemas.microsoft.com/office/drawing/2014/main" id="{B6693CC0-6917-3BF9-47D1-2FD6299F6F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64140" y="693420"/>
          <a:ext cx="502920" cy="502920"/>
        </a:xfrm>
        <a:prstGeom prst="rect">
          <a:avLst/>
        </a:prstGeom>
      </xdr:spPr>
    </xdr:pic>
    <xdr:clientData/>
  </xdr:twoCellAnchor>
  <xdr:twoCellAnchor>
    <xdr:from>
      <xdr:col>10</xdr:col>
      <xdr:colOff>53340</xdr:colOff>
      <xdr:row>16</xdr:row>
      <xdr:rowOff>91440</xdr:rowOff>
    </xdr:from>
    <xdr:to>
      <xdr:col>19</xdr:col>
      <xdr:colOff>198120</xdr:colOff>
      <xdr:row>29</xdr:row>
      <xdr:rowOff>121920</xdr:rowOff>
    </xdr:to>
    <xdr:graphicFrame macro="">
      <xdr:nvGraphicFramePr>
        <xdr:cNvPr id="17" name="Chart 16">
          <a:extLst>
            <a:ext uri="{FF2B5EF4-FFF2-40B4-BE49-F238E27FC236}">
              <a16:creationId xmlns:a16="http://schemas.microsoft.com/office/drawing/2014/main" id="{AFBBC53F-1ED4-450E-BCAC-7DD4DD4D5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548640</xdr:colOff>
      <xdr:row>20</xdr:row>
      <xdr:rowOff>167640</xdr:rowOff>
    </xdr:from>
    <xdr:to>
      <xdr:col>4</xdr:col>
      <xdr:colOff>297180</xdr:colOff>
      <xdr:row>29</xdr:row>
      <xdr:rowOff>15240</xdr:rowOff>
    </xdr:to>
    <xdr:graphicFrame macro="">
      <xdr:nvGraphicFramePr>
        <xdr:cNvPr id="18" name="Chart 17">
          <a:extLst>
            <a:ext uri="{FF2B5EF4-FFF2-40B4-BE49-F238E27FC236}">
              <a16:creationId xmlns:a16="http://schemas.microsoft.com/office/drawing/2014/main" id="{445FC265-F43E-4540-9244-827413358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297180</xdr:colOff>
      <xdr:row>15</xdr:row>
      <xdr:rowOff>83820</xdr:rowOff>
    </xdr:from>
    <xdr:to>
      <xdr:col>10</xdr:col>
      <xdr:colOff>60960</xdr:colOff>
      <xdr:row>29</xdr:row>
      <xdr:rowOff>137160</xdr:rowOff>
    </xdr:to>
    <xdr:graphicFrame macro="">
      <xdr:nvGraphicFramePr>
        <xdr:cNvPr id="19" name="Chart 18">
          <a:extLst>
            <a:ext uri="{FF2B5EF4-FFF2-40B4-BE49-F238E27FC236}">
              <a16:creationId xmlns:a16="http://schemas.microsoft.com/office/drawing/2014/main" id="{91FEDA1E-542F-48B2-B2F2-290A07B05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586740</xdr:colOff>
      <xdr:row>12</xdr:row>
      <xdr:rowOff>7621</xdr:rowOff>
    </xdr:from>
    <xdr:to>
      <xdr:col>3</xdr:col>
      <xdr:colOff>586740</xdr:colOff>
      <xdr:row>17</xdr:row>
      <xdr:rowOff>7620</xdr:rowOff>
    </xdr:to>
    <mc:AlternateContent xmlns:mc="http://schemas.openxmlformats.org/markup-compatibility/2006">
      <mc:Choice xmlns:a14="http://schemas.microsoft.com/office/drawing/2010/main" Requires="a14">
        <xdr:graphicFrame macro="">
          <xdr:nvGraphicFramePr>
            <xdr:cNvPr id="20" name="Agent_Name">
              <a:extLst>
                <a:ext uri="{FF2B5EF4-FFF2-40B4-BE49-F238E27FC236}">
                  <a16:creationId xmlns:a16="http://schemas.microsoft.com/office/drawing/2014/main" id="{5BD9ED7A-0BE1-4344-B3CD-3FC8E3B14289}"/>
                </a:ext>
              </a:extLst>
            </xdr:cNvPr>
            <xdr:cNvGraphicFramePr/>
          </xdr:nvGraphicFramePr>
          <xdr:xfrm>
            <a:off x="0" y="0"/>
            <a:ext cx="0" cy="0"/>
          </xdr:xfrm>
          <a:graphic>
            <a:graphicData uri="http://schemas.microsoft.com/office/drawing/2010/slicer">
              <sle:slicer xmlns:sle="http://schemas.microsoft.com/office/drawing/2010/slicer" name="Agent_Name"/>
            </a:graphicData>
          </a:graphic>
        </xdr:graphicFrame>
      </mc:Choice>
      <mc:Fallback>
        <xdr:sp macro="" textlink="">
          <xdr:nvSpPr>
            <xdr:cNvPr id="0" name=""/>
            <xdr:cNvSpPr>
              <a:spLocks noTextEdit="1"/>
            </xdr:cNvSpPr>
          </xdr:nvSpPr>
          <xdr:spPr>
            <a:xfrm>
              <a:off x="586740" y="220218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601980</xdr:colOff>
      <xdr:row>17</xdr:row>
      <xdr:rowOff>137160</xdr:rowOff>
    </xdr:from>
    <xdr:to>
      <xdr:col>3</xdr:col>
      <xdr:colOff>601980</xdr:colOff>
      <xdr:row>21</xdr:row>
      <xdr:rowOff>22860</xdr:rowOff>
    </xdr:to>
    <mc:AlternateContent xmlns:mc="http://schemas.openxmlformats.org/markup-compatibility/2006">
      <mc:Choice xmlns:a14="http://schemas.microsoft.com/office/drawing/2010/main" Requires="a14">
        <xdr:graphicFrame macro="">
          <xdr:nvGraphicFramePr>
            <xdr:cNvPr id="21" name="Calls_Abandoned">
              <a:extLst>
                <a:ext uri="{FF2B5EF4-FFF2-40B4-BE49-F238E27FC236}">
                  <a16:creationId xmlns:a16="http://schemas.microsoft.com/office/drawing/2014/main" id="{1BD44437-A817-4947-A657-B2D3447AED81}"/>
                </a:ext>
              </a:extLst>
            </xdr:cNvPr>
            <xdr:cNvGraphicFramePr/>
          </xdr:nvGraphicFramePr>
          <xdr:xfrm>
            <a:off x="0" y="0"/>
            <a:ext cx="0" cy="0"/>
          </xdr:xfrm>
          <a:graphic>
            <a:graphicData uri="http://schemas.microsoft.com/office/drawing/2010/slicer">
              <sle:slicer xmlns:sle="http://schemas.microsoft.com/office/drawing/2010/slicer" name="Calls_Abandoned"/>
            </a:graphicData>
          </a:graphic>
        </xdr:graphicFrame>
      </mc:Choice>
      <mc:Fallback>
        <xdr:sp macro="" textlink="">
          <xdr:nvSpPr>
            <xdr:cNvPr id="0" name=""/>
            <xdr:cNvSpPr>
              <a:spLocks noTextEdit="1"/>
            </xdr:cNvSpPr>
          </xdr:nvSpPr>
          <xdr:spPr>
            <a:xfrm>
              <a:off x="601980" y="3246120"/>
              <a:ext cx="18288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350520</xdr:colOff>
      <xdr:row>2</xdr:row>
      <xdr:rowOff>99060</xdr:rowOff>
    </xdr:from>
    <xdr:to>
      <xdr:col>16</xdr:col>
      <xdr:colOff>68580</xdr:colOff>
      <xdr:row>7</xdr:row>
      <xdr:rowOff>99060</xdr:rowOff>
    </xdr:to>
    <xdr:sp macro="" textlink="">
      <xdr:nvSpPr>
        <xdr:cNvPr id="23" name="Rectangle: Rounded Corners 22">
          <a:extLst>
            <a:ext uri="{FF2B5EF4-FFF2-40B4-BE49-F238E27FC236}">
              <a16:creationId xmlns:a16="http://schemas.microsoft.com/office/drawing/2014/main" id="{0B42FD33-C4BC-EFC7-1D6A-925F257DA85A}"/>
            </a:ext>
          </a:extLst>
        </xdr:cNvPr>
        <xdr:cNvSpPr/>
      </xdr:nvSpPr>
      <xdr:spPr>
        <a:xfrm>
          <a:off x="5227320" y="464820"/>
          <a:ext cx="4594860" cy="9144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3</xdr:row>
      <xdr:rowOff>106680</xdr:rowOff>
    </xdr:from>
    <xdr:to>
      <xdr:col>15</xdr:col>
      <xdr:colOff>388620</xdr:colOff>
      <xdr:row>5</xdr:row>
      <xdr:rowOff>129540</xdr:rowOff>
    </xdr:to>
    <xdr:sp macro="" textlink="">
      <xdr:nvSpPr>
        <xdr:cNvPr id="24" name="TextBox 23">
          <a:extLst>
            <a:ext uri="{FF2B5EF4-FFF2-40B4-BE49-F238E27FC236}">
              <a16:creationId xmlns:a16="http://schemas.microsoft.com/office/drawing/2014/main" id="{5541B91D-72F5-39D6-AEE0-5148DA8ACF50}"/>
            </a:ext>
          </a:extLst>
        </xdr:cNvPr>
        <xdr:cNvSpPr txBox="1"/>
      </xdr:nvSpPr>
      <xdr:spPr>
        <a:xfrm>
          <a:off x="5448300" y="655320"/>
          <a:ext cx="4084320" cy="388620"/>
        </a:xfrm>
        <a:prstGeom prst="rect">
          <a:avLst/>
        </a:prstGeom>
        <a:no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b="1">
              <a:latin typeface="Arial Black" panose="020B0A04020102020204" pitchFamily="34" charset="0"/>
            </a:rPr>
            <a:t>“Call Center Performance &amp; KPIs Dashboard”</a:t>
          </a:r>
          <a:endParaRPr lang="en-IN">
            <a:latin typeface="Arial Black" panose="020B0A04020102020204" pitchFamily="34" charset="0"/>
          </a:endParaRPr>
        </a:p>
        <a:p>
          <a:endParaRPr lang="en-IN" sz="1100">
            <a:latin typeface="Arial Black" panose="020B0A04020102020204" pitchFamily="34" charset="0"/>
          </a:endParaRPr>
        </a:p>
      </xdr:txBody>
    </xdr:sp>
    <xdr:clientData/>
  </xdr:twoCellAnchor>
  <xdr:twoCellAnchor editAs="oneCell">
    <xdr:from>
      <xdr:col>0</xdr:col>
      <xdr:colOff>594360</xdr:colOff>
      <xdr:row>6</xdr:row>
      <xdr:rowOff>167641</xdr:rowOff>
    </xdr:from>
    <xdr:to>
      <xdr:col>3</xdr:col>
      <xdr:colOff>594360</xdr:colOff>
      <xdr:row>11</xdr:row>
      <xdr:rowOff>76200</xdr:rowOff>
    </xdr:to>
    <mc:AlternateContent xmlns:mc="http://schemas.openxmlformats.org/markup-compatibility/2006">
      <mc:Choice xmlns:a14="http://schemas.microsoft.com/office/drawing/2010/main" Requires="a14">
        <xdr:graphicFrame macro="">
          <xdr:nvGraphicFramePr>
            <xdr:cNvPr id="25" name="Customer_Satisfaction">
              <a:extLst>
                <a:ext uri="{FF2B5EF4-FFF2-40B4-BE49-F238E27FC236}">
                  <a16:creationId xmlns:a16="http://schemas.microsoft.com/office/drawing/2014/main" id="{D79FA095-4B61-48AB-BCF0-C5FD01E93168}"/>
                </a:ext>
              </a:extLst>
            </xdr:cNvPr>
            <xdr:cNvGraphicFramePr/>
          </xdr:nvGraphicFramePr>
          <xdr:xfrm>
            <a:off x="0" y="0"/>
            <a:ext cx="0" cy="0"/>
          </xdr:xfrm>
          <a:graphic>
            <a:graphicData uri="http://schemas.microsoft.com/office/drawing/2010/slicer">
              <sle:slicer xmlns:sle="http://schemas.microsoft.com/office/drawing/2010/slicer" name="Customer_Satisfaction"/>
            </a:graphicData>
          </a:graphic>
        </xdr:graphicFrame>
      </mc:Choice>
      <mc:Fallback>
        <xdr:sp macro="" textlink="">
          <xdr:nvSpPr>
            <xdr:cNvPr id="0" name=""/>
            <xdr:cNvSpPr>
              <a:spLocks noTextEdit="1"/>
            </xdr:cNvSpPr>
          </xdr:nvSpPr>
          <xdr:spPr>
            <a:xfrm>
              <a:off x="594360" y="1264921"/>
              <a:ext cx="18288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8</xdr:row>
      <xdr:rowOff>76201</xdr:rowOff>
    </xdr:from>
    <xdr:to>
      <xdr:col>23</xdr:col>
      <xdr:colOff>30480</xdr:colOff>
      <xdr:row>15</xdr:row>
      <xdr:rowOff>22861</xdr:rowOff>
    </xdr:to>
    <mc:AlternateContent xmlns:mc="http://schemas.openxmlformats.org/markup-compatibility/2006">
      <mc:Choice xmlns:a14="http://schemas.microsoft.com/office/drawing/2010/main" Requires="a14">
        <xdr:graphicFrame macro="">
          <xdr:nvGraphicFramePr>
            <xdr:cNvPr id="26" name="AHT_Sec">
              <a:extLst>
                <a:ext uri="{FF2B5EF4-FFF2-40B4-BE49-F238E27FC236}">
                  <a16:creationId xmlns:a16="http://schemas.microsoft.com/office/drawing/2014/main" id="{2F115256-3F2C-4795-8030-C68F63AEFA67}"/>
                </a:ext>
              </a:extLst>
            </xdr:cNvPr>
            <xdr:cNvGraphicFramePr/>
          </xdr:nvGraphicFramePr>
          <xdr:xfrm>
            <a:off x="0" y="0"/>
            <a:ext cx="0" cy="0"/>
          </xdr:xfrm>
          <a:graphic>
            <a:graphicData uri="http://schemas.microsoft.com/office/drawing/2010/slicer">
              <sle:slicer xmlns:sle="http://schemas.microsoft.com/office/drawing/2010/slicer" name="AHT_Sec"/>
            </a:graphicData>
          </a:graphic>
        </xdr:graphicFrame>
      </mc:Choice>
      <mc:Fallback>
        <xdr:sp macro="" textlink="">
          <xdr:nvSpPr>
            <xdr:cNvPr id="0" name=""/>
            <xdr:cNvSpPr>
              <a:spLocks noTextEdit="1"/>
            </xdr:cNvSpPr>
          </xdr:nvSpPr>
          <xdr:spPr>
            <a:xfrm>
              <a:off x="12222480" y="153924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15</xdr:row>
      <xdr:rowOff>167641</xdr:rowOff>
    </xdr:from>
    <xdr:to>
      <xdr:col>23</xdr:col>
      <xdr:colOff>38100</xdr:colOff>
      <xdr:row>22</xdr:row>
      <xdr:rowOff>22860</xdr:rowOff>
    </xdr:to>
    <mc:AlternateContent xmlns:mc="http://schemas.openxmlformats.org/markup-compatibility/2006">
      <mc:Choice xmlns:a14="http://schemas.microsoft.com/office/drawing/2010/main" Requires="a14">
        <xdr:graphicFrame macro="">
          <xdr:nvGraphicFramePr>
            <xdr:cNvPr id="27" name="QA_Score">
              <a:extLst>
                <a:ext uri="{FF2B5EF4-FFF2-40B4-BE49-F238E27FC236}">
                  <a16:creationId xmlns:a16="http://schemas.microsoft.com/office/drawing/2014/main" id="{D8EFFFFC-7719-472C-9B20-E168FC7C6589}"/>
                </a:ext>
              </a:extLst>
            </xdr:cNvPr>
            <xdr:cNvGraphicFramePr/>
          </xdr:nvGraphicFramePr>
          <xdr:xfrm>
            <a:off x="0" y="0"/>
            <a:ext cx="0" cy="0"/>
          </xdr:xfrm>
          <a:graphic>
            <a:graphicData uri="http://schemas.microsoft.com/office/drawing/2010/slicer">
              <sle:slicer xmlns:sle="http://schemas.microsoft.com/office/drawing/2010/slicer" name="QA_Score"/>
            </a:graphicData>
          </a:graphic>
        </xdr:graphicFrame>
      </mc:Choice>
      <mc:Fallback>
        <xdr:sp macro="" textlink="">
          <xdr:nvSpPr>
            <xdr:cNvPr id="0" name=""/>
            <xdr:cNvSpPr>
              <a:spLocks noTextEdit="1"/>
            </xdr:cNvSpPr>
          </xdr:nvSpPr>
          <xdr:spPr>
            <a:xfrm>
              <a:off x="12230100" y="2910841"/>
              <a:ext cx="182880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320040</xdr:colOff>
      <xdr:row>8</xdr:row>
      <xdr:rowOff>76199</xdr:rowOff>
    </xdr:from>
    <xdr:to>
      <xdr:col>9</xdr:col>
      <xdr:colOff>586740</xdr:colOff>
      <xdr:row>18</xdr:row>
      <xdr:rowOff>99060</xdr:rowOff>
    </xdr:to>
    <xdr:graphicFrame macro="">
      <xdr:nvGraphicFramePr>
        <xdr:cNvPr id="28" name="Chart 27">
          <a:extLst>
            <a:ext uri="{FF2B5EF4-FFF2-40B4-BE49-F238E27FC236}">
              <a16:creationId xmlns:a16="http://schemas.microsoft.com/office/drawing/2014/main" id="{B6D87FD9-C933-4B72-A980-1F4D05390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rick Paul" refreshedDate="46096.520703125003" createdVersion="8" refreshedVersion="8" minRefreshableVersion="3" recordCount="15" xr:uid="{940B6683-6EF6-4513-AB91-55295CADA130}">
  <cacheSource type="worksheet">
    <worksheetSource name="Bpo_data"/>
  </cacheSource>
  <cacheFields count="57">
    <cacheField name="Date" numFmtId="14">
      <sharedItems containsSemiMixedTypes="0" containsNonDate="0" containsDate="1" containsString="0" minDate="2026-04-01T00:00:00" maxDate="2026-04-04T00:00:00" count="3">
        <d v="2026-04-01T00:00:00"/>
        <d v="2026-04-02T00:00:00"/>
        <d v="2026-04-03T00:00:00"/>
      </sharedItems>
      <fieldGroup par="56"/>
    </cacheField>
    <cacheField name="Day" numFmtId="0">
      <sharedItems/>
    </cacheField>
    <cacheField name="Week" numFmtId="0">
      <sharedItems containsSemiMixedTypes="0" containsString="0" containsNumber="1" containsInteger="1" minValue="14" maxValue="14"/>
    </cacheField>
    <cacheField name="Month" numFmtId="0">
      <sharedItems/>
    </cacheField>
    <cacheField name="Year" numFmtId="0">
      <sharedItems containsSemiMixedTypes="0" containsString="0" containsNumber="1" containsInteger="1" minValue="2026" maxValue="2026"/>
    </cacheField>
    <cacheField name="Campaign" numFmtId="0">
      <sharedItems count="1">
        <s v="Ecommerce"/>
      </sharedItems>
    </cacheField>
    <cacheField name="Process" numFmtId="0">
      <sharedItems/>
    </cacheField>
    <cacheField name="Queue" numFmtId="0">
      <sharedItems/>
    </cacheField>
    <cacheField name="Interaction_ID" numFmtId="0">
      <sharedItems/>
    </cacheField>
    <cacheField name="Call_Type" numFmtId="0">
      <sharedItems/>
    </cacheField>
    <cacheField name="Customer_ID" numFmtId="0">
      <sharedItems/>
    </cacheField>
    <cacheField name="Customer_Country" numFmtId="0">
      <sharedItems/>
    </cacheField>
    <cacheField name="Customer_Segment" numFmtId="0">
      <sharedItems/>
    </cacheField>
    <cacheField name="Agent_ID" numFmtId="0">
      <sharedItems/>
    </cacheField>
    <cacheField name="Agent_Name" numFmtId="0">
      <sharedItems count="5">
        <s v="Rahul"/>
        <s v="Priya"/>
        <s v="Aman"/>
        <s v="Neha"/>
        <s v="Arjun"/>
      </sharedItems>
    </cacheField>
    <cacheField name="Agent_Team" numFmtId="0">
      <sharedItems count="3">
        <s v="TeamA"/>
        <s v="TeamB"/>
        <s v="TeamC"/>
      </sharedItems>
    </cacheField>
    <cacheField name="Team_Leader" numFmtId="0">
      <sharedItems count="3">
        <s v="TL01"/>
        <s v="TL02"/>
        <s v="TL03"/>
      </sharedItems>
    </cacheField>
    <cacheField name="Manager" numFmtId="0">
      <sharedItems count="1">
        <s v="M01"/>
      </sharedItems>
    </cacheField>
    <cacheField name="Agent_Location" numFmtId="0">
      <sharedItems/>
    </cacheField>
    <cacheField name="Shift" numFmtId="0">
      <sharedItems/>
    </cacheField>
    <cacheField name="Shift_Start" numFmtId="20">
      <sharedItems containsSemiMixedTypes="0" containsNonDate="0" containsDate="1" containsString="0" minDate="1899-12-30T09:00:00" maxDate="1899-12-30T09:00:00"/>
    </cacheField>
    <cacheField name="Shift_End" numFmtId="20">
      <sharedItems containsSemiMixedTypes="0" containsNonDate="0" containsDate="1" containsString="0" minDate="1899-12-30T18:00:00" maxDate="1899-12-30T18:00:00"/>
    </cacheField>
    <cacheField name="Login_Time" numFmtId="20">
      <sharedItems containsSemiMixedTypes="0" containsNonDate="0" containsDate="1" containsString="0" minDate="1899-12-30T09:00:00" maxDate="1899-12-30T09:06:00"/>
    </cacheField>
    <cacheField name="Logout_Time" numFmtId="20">
      <sharedItems containsSemiMixedTypes="0" containsNonDate="0" containsDate="1" containsString="0" minDate="1899-12-30T17:58:00" maxDate="1899-12-30T18:05:00"/>
    </cacheField>
    <cacheField name="Scheduled_Hours" numFmtId="0">
      <sharedItems containsSemiMixedTypes="0" containsString="0" containsNumber="1" containsInteger="1" minValue="9" maxValue="9"/>
    </cacheField>
    <cacheField name="Actual_Work_Hours" numFmtId="0">
      <sharedItems containsSemiMixedTypes="0" containsString="0" containsNumber="1" minValue="8.5" maxValue="8.9"/>
    </cacheField>
    <cacheField name="Break_Time_Min" numFmtId="0">
      <sharedItems containsSemiMixedTypes="0" containsString="0" containsNumber="1" containsInteger="1" minValue="15" maxValue="20"/>
    </cacheField>
    <cacheField name="Lunch_Time_Min" numFmtId="0">
      <sharedItems containsSemiMixedTypes="0" containsString="0" containsNumber="1" containsInteger="1" minValue="30" maxValue="30"/>
    </cacheField>
    <cacheField name="Aux_Time_Min" numFmtId="0">
      <sharedItems containsSemiMixedTypes="0" containsString="0" containsNumber="1" containsInteger="1" minValue="8" maxValue="12"/>
    </cacheField>
    <cacheField name="Calls_Handled" numFmtId="0">
      <sharedItems containsSemiMixedTypes="0" containsString="0" containsNumber="1" containsInteger="1" minValue="88" maxValue="115" count="15">
        <n v="95"/>
        <n v="110"/>
        <n v="88"/>
        <n v="102"/>
        <n v="97"/>
        <n v="100"/>
        <n v="112"/>
        <n v="92"/>
        <n v="108"/>
        <n v="99"/>
        <n v="98"/>
        <n v="115"/>
        <n v="90"/>
        <n v="105"/>
        <n v="101"/>
      </sharedItems>
    </cacheField>
    <cacheField name="Calls_Offered" numFmtId="0">
      <sharedItems containsSemiMixedTypes="0" containsString="0" containsNumber="1" containsInteger="1" minValue="102" maxValue="132" count="14">
        <n v="110"/>
        <n v="125"/>
        <n v="102"/>
        <n v="118"/>
        <n v="112"/>
        <n v="130"/>
        <n v="108"/>
        <n v="122"/>
        <n v="115"/>
        <n v="114"/>
        <n v="132"/>
        <n v="105"/>
        <n v="120"/>
        <n v="116"/>
      </sharedItems>
    </cacheField>
    <cacheField name="Calls_Abandoned" numFmtId="0">
      <sharedItems containsSemiMixedTypes="0" containsString="0" containsNumber="1" containsInteger="1" minValue="4" maxValue="6" count="3">
        <n v="5"/>
        <n v="6"/>
        <n v="4"/>
      </sharedItems>
    </cacheField>
    <cacheField name="Talk_Time_Min" numFmtId="0">
      <sharedItems containsSemiMixedTypes="0" containsString="0" containsNumber="1" containsInteger="1" minValue="395" maxValue="480"/>
    </cacheField>
    <cacheField name="Hold_Time_Min" numFmtId="0">
      <sharedItems containsSemiMixedTypes="0" containsString="0" containsNumber="1" containsInteger="1" minValue="28" maxValue="37"/>
    </cacheField>
    <cacheField name="After_Call_Work_Min" numFmtId="0">
      <sharedItems containsSemiMixedTypes="0" containsString="0" containsNumber="1" containsInteger="1" minValue="40" maxValue="50"/>
    </cacheField>
    <cacheField name="Handle_Time_Sec" numFmtId="0">
      <sharedItems containsSemiMixedTypes="0" containsString="0" containsNumber="1" containsInteger="1" minValue="295" maxValue="305"/>
    </cacheField>
    <cacheField name="AHT_Sec" numFmtId="0">
      <sharedItems containsSemiMixedTypes="0" containsString="0" containsNumber="1" containsInteger="1" minValue="295" maxValue="305" count="10">
        <n v="300"/>
        <n v="305"/>
        <n v="295"/>
        <n v="302"/>
        <n v="298"/>
        <n v="304"/>
        <n v="296"/>
        <n v="301"/>
        <n v="299"/>
        <n v="297"/>
      </sharedItems>
    </cacheField>
    <cacheField name="First_Call_Resolution" numFmtId="0">
      <sharedItems/>
    </cacheField>
    <cacheField name="Transfer_Flag" numFmtId="0">
      <sharedItems/>
    </cacheField>
    <cacheField name="Escalation_Flag" numFmtId="0">
      <sharedItems/>
    </cacheField>
    <cacheField name="Customer_Satisfaction" numFmtId="0">
      <sharedItems containsSemiMixedTypes="0" containsString="0" containsNumber="1" containsInteger="1" minValue="90" maxValue="96" count="7">
        <n v="92"/>
        <n v="94"/>
        <n v="90"/>
        <n v="95"/>
        <n v="91"/>
        <n v="93"/>
        <n v="96"/>
      </sharedItems>
    </cacheField>
    <cacheField name="NPS" numFmtId="0">
      <sharedItems containsSemiMixedTypes="0" containsString="0" containsNumber="1" containsInteger="1" minValue="55" maxValue="75"/>
    </cacheField>
    <cacheField name="QA_Score" numFmtId="0">
      <sharedItems containsSemiMixedTypes="0" containsString="0" containsNumber="1" containsInteger="1" minValue="85" maxValue="93" count="9">
        <n v="88"/>
        <n v="90"/>
        <n v="85"/>
        <n v="91"/>
        <n v="87"/>
        <n v="89"/>
        <n v="92"/>
        <n v="86"/>
        <n v="93"/>
      </sharedItems>
    </cacheField>
    <cacheField name="Greeting_Score" numFmtId="0">
      <sharedItems containsSemiMixedTypes="0" containsString="0" containsNumber="1" containsInteger="1" minValue="8" maxValue="10"/>
    </cacheField>
    <cacheField name="Resolution_Score" numFmtId="0">
      <sharedItems containsSemiMixedTypes="0" containsString="0" containsNumber="1" containsInteger="1" minValue="8" maxValue="10"/>
    </cacheField>
    <cacheField name="Soft_Skills_Score" numFmtId="0">
      <sharedItems containsSemiMixedTypes="0" containsString="0" containsNumber="1" containsInteger="1" minValue="8" maxValue="9"/>
    </cacheField>
    <cacheField name="Compliance_Score" numFmtId="0">
      <sharedItems containsSemiMixedTypes="0" containsString="0" containsNumber="1" containsInteger="1" minValue="9" maxValue="10"/>
    </cacheField>
    <cacheField name="Adherence_Percentage" numFmtId="0">
      <sharedItems containsSemiMixedTypes="0" containsString="0" containsNumber="1" containsInteger="1" minValue="93" maxValue="98" count="6">
        <n v="96"/>
        <n v="97"/>
        <n v="93"/>
        <n v="98"/>
        <n v="95"/>
        <n v="94"/>
      </sharedItems>
    </cacheField>
    <cacheField name="Occupancy_Percentage" numFmtId="0">
      <sharedItems containsSemiMixedTypes="0" containsString="0" containsNumber="1" containsInteger="1" minValue="82" maxValue="90"/>
    </cacheField>
    <cacheField name="Shrinkage_Percentage" numFmtId="0">
      <sharedItems containsSemiMixedTypes="0" containsString="0" containsNumber="1" containsInteger="1" minValue="16" maxValue="21"/>
    </cacheField>
    <cacheField name="Forecast_Calls" numFmtId="0">
      <sharedItems containsSemiMixedTypes="0" containsString="0" containsNumber="1" containsInteger="1" minValue="1000" maxValue="1020"/>
    </cacheField>
    <cacheField name="Required_Agents" numFmtId="0">
      <sharedItems containsSemiMixedTypes="0" containsString="0" containsNumber="1" containsInteger="1" minValue="28" maxValue="29"/>
    </cacheField>
    <cacheField name="Available_Agents" numFmtId="0">
      <sharedItems containsSemiMixedTypes="0" containsString="0" containsNumber="1" containsInteger="1" minValue="26" maxValue="27"/>
    </cacheField>
    <cacheField name="Overtime_Hours" numFmtId="0">
      <sharedItems containsSemiMixedTypes="0" containsString="0" containsNumber="1" containsInteger="1" minValue="0" maxValue="1"/>
    </cacheField>
    <cacheField name="Attrition_Flag" numFmtId="0">
      <sharedItems containsSemiMixedTypes="0" containsString="0" containsNumber="1" containsInteger="1" minValue="0" maxValue="0" count="1">
        <n v="0"/>
      </sharedItems>
    </cacheField>
    <cacheField name="Days (Date)" numFmtId="0" databaseField="0">
      <fieldGroup base="0">
        <rangePr groupBy="days" startDate="2026-04-01T00:00:00" endDate="2026-04-04T00:00:00"/>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04-2026"/>
        </groupItems>
      </fieldGroup>
    </cacheField>
    <cacheField name="Months (Date)" numFmtId="0" databaseField="0">
      <fieldGroup base="0">
        <rangePr groupBy="months" startDate="2026-04-01T00:00:00" endDate="2026-04-04T00:00:00"/>
        <groupItems count="14">
          <s v="&lt;01-04-2026"/>
          <s v="Jan"/>
          <s v="Feb"/>
          <s v="Mar"/>
          <s v="Apr"/>
          <s v="May"/>
          <s v="Jun"/>
          <s v="Jul"/>
          <s v="Aug"/>
          <s v="Sep"/>
          <s v="Oct"/>
          <s v="Nov"/>
          <s v="Dec"/>
          <s v="&gt;04-04-2026"/>
        </groupItems>
      </fieldGroup>
    </cacheField>
  </cacheFields>
  <extLst>
    <ext xmlns:x14="http://schemas.microsoft.com/office/spreadsheetml/2009/9/main" uri="{725AE2AE-9491-48be-B2B4-4EB974FC3084}">
      <x14:pivotCacheDefinition pivotCacheId="1547824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Mon"/>
    <n v="14"/>
    <s v="Apr"/>
    <n v="2026"/>
    <x v="0"/>
    <s v="Support"/>
    <s v="Billing"/>
    <s v="INT1001"/>
    <s v="Inbound"/>
    <s v="C9001"/>
    <s v="USA"/>
    <s v="Premium"/>
    <s v="A101"/>
    <x v="0"/>
    <x v="0"/>
    <x v="0"/>
    <x v="0"/>
    <s v="Noida"/>
    <s v="Morning"/>
    <d v="1899-12-30T09:00:00"/>
    <d v="1899-12-30T18:00:00"/>
    <d v="1899-12-30T09:03:00"/>
    <d v="1899-12-30T18:02:00"/>
    <n v="9"/>
    <n v="8.8000000000000007"/>
    <n v="15"/>
    <n v="30"/>
    <n v="10"/>
    <x v="0"/>
    <x v="0"/>
    <x v="0"/>
    <n v="420"/>
    <n v="30"/>
    <n v="50"/>
    <n v="300"/>
    <x v="0"/>
    <s v="Yes"/>
    <s v="No"/>
    <s v="No"/>
    <x v="0"/>
    <n v="60"/>
    <x v="0"/>
    <n v="9"/>
    <n v="9"/>
    <n v="8"/>
    <n v="9"/>
    <x v="0"/>
    <n v="85"/>
    <n v="20"/>
    <n v="1000"/>
    <n v="28"/>
    <n v="26"/>
    <n v="1"/>
    <x v="0"/>
  </r>
  <r>
    <x v="0"/>
    <s v="Mon"/>
    <n v="14"/>
    <s v="Apr"/>
    <n v="2026"/>
    <x v="0"/>
    <s v="Support"/>
    <s v="Returns"/>
    <s v="INT1002"/>
    <s v="Inbound"/>
    <s v="C9002"/>
    <s v="UK"/>
    <s v="Standard"/>
    <s v="A102"/>
    <x v="1"/>
    <x v="0"/>
    <x v="0"/>
    <x v="0"/>
    <s v="Noida"/>
    <s v="Morning"/>
    <d v="1899-12-30T09:00:00"/>
    <d v="1899-12-30T18:00:00"/>
    <d v="1899-12-30T09:01:00"/>
    <d v="1899-12-30T18:00:00"/>
    <n v="9"/>
    <n v="8.9"/>
    <n v="15"/>
    <n v="30"/>
    <n v="8"/>
    <x v="1"/>
    <x v="1"/>
    <x v="1"/>
    <n v="460"/>
    <n v="35"/>
    <n v="45"/>
    <n v="305"/>
    <x v="1"/>
    <s v="Yes"/>
    <s v="No"/>
    <s v="No"/>
    <x v="1"/>
    <n v="65"/>
    <x v="1"/>
    <n v="9"/>
    <n v="9"/>
    <n v="9"/>
    <n v="9"/>
    <x v="1"/>
    <n v="87"/>
    <n v="18"/>
    <n v="1000"/>
    <n v="28"/>
    <n v="26"/>
    <n v="0"/>
    <x v="0"/>
  </r>
  <r>
    <x v="0"/>
    <s v="Mon"/>
    <n v="14"/>
    <s v="Apr"/>
    <n v="2026"/>
    <x v="0"/>
    <s v="Support"/>
    <s v="Billing"/>
    <s v="INT1003"/>
    <s v="Inbound"/>
    <s v="C9003"/>
    <s v="Canada"/>
    <s v="Premium"/>
    <s v="A103"/>
    <x v="2"/>
    <x v="1"/>
    <x v="1"/>
    <x v="0"/>
    <s v="Noida"/>
    <s v="Morning"/>
    <d v="1899-12-30T09:00:00"/>
    <d v="1899-12-30T18:00:00"/>
    <d v="1899-12-30T09:06:00"/>
    <d v="1899-12-30T17:58:00"/>
    <n v="9"/>
    <n v="8.5"/>
    <n v="20"/>
    <n v="30"/>
    <n v="12"/>
    <x v="2"/>
    <x v="2"/>
    <x v="2"/>
    <n v="395"/>
    <n v="28"/>
    <n v="40"/>
    <n v="295"/>
    <x v="2"/>
    <s v="Yes"/>
    <s v="No"/>
    <s v="No"/>
    <x v="2"/>
    <n v="55"/>
    <x v="2"/>
    <n v="8"/>
    <n v="8"/>
    <n v="8"/>
    <n v="9"/>
    <x v="2"/>
    <n v="82"/>
    <n v="21"/>
    <n v="1000"/>
    <n v="28"/>
    <n v="26"/>
    <n v="0"/>
    <x v="0"/>
  </r>
  <r>
    <x v="0"/>
    <s v="Mon"/>
    <n v="14"/>
    <s v="Apr"/>
    <n v="2026"/>
    <x v="0"/>
    <s v="Support"/>
    <s v="Delivery"/>
    <s v="INT1004"/>
    <s v="Inbound"/>
    <s v="C9004"/>
    <s v="USA"/>
    <s v="Standard"/>
    <s v="A104"/>
    <x v="3"/>
    <x v="1"/>
    <x v="1"/>
    <x v="0"/>
    <s v="Noida"/>
    <s v="Morning"/>
    <d v="1899-12-30T09:00:00"/>
    <d v="1899-12-30T18:00:00"/>
    <d v="1899-12-30T09:02:00"/>
    <d v="1899-12-30T18:05:00"/>
    <n v="9"/>
    <n v="8.9"/>
    <n v="15"/>
    <n v="30"/>
    <n v="9"/>
    <x v="3"/>
    <x v="3"/>
    <x v="0"/>
    <n v="440"/>
    <n v="32"/>
    <n v="48"/>
    <n v="302"/>
    <x v="3"/>
    <s v="Yes"/>
    <s v="No"/>
    <s v="No"/>
    <x v="3"/>
    <n v="70"/>
    <x v="3"/>
    <n v="9"/>
    <n v="10"/>
    <n v="9"/>
    <n v="9"/>
    <x v="3"/>
    <n v="88"/>
    <n v="17"/>
    <n v="1000"/>
    <n v="28"/>
    <n v="26"/>
    <n v="1"/>
    <x v="0"/>
  </r>
  <r>
    <x v="0"/>
    <s v="Mon"/>
    <n v="14"/>
    <s v="Apr"/>
    <n v="2026"/>
    <x v="0"/>
    <s v="Support"/>
    <s v="Billing"/>
    <s v="INT1005"/>
    <s v="Inbound"/>
    <s v="C9005"/>
    <s v="USA"/>
    <s v="Premium"/>
    <s v="A105"/>
    <x v="4"/>
    <x v="2"/>
    <x v="2"/>
    <x v="0"/>
    <s v="Noida"/>
    <s v="Morning"/>
    <d v="1899-12-30T09:00:00"/>
    <d v="1899-12-30T18:00:00"/>
    <d v="1899-12-30T09:04:00"/>
    <d v="1899-12-30T18:01:00"/>
    <n v="9"/>
    <n v="8.6999999999999993"/>
    <n v="18"/>
    <n v="30"/>
    <n v="11"/>
    <x v="4"/>
    <x v="4"/>
    <x v="1"/>
    <n v="430"/>
    <n v="29"/>
    <n v="44"/>
    <n v="298"/>
    <x v="4"/>
    <s v="Yes"/>
    <s v="No"/>
    <s v="No"/>
    <x v="4"/>
    <n v="58"/>
    <x v="4"/>
    <n v="9"/>
    <n v="9"/>
    <n v="8"/>
    <n v="9"/>
    <x v="4"/>
    <n v="84"/>
    <n v="20"/>
    <n v="1000"/>
    <n v="28"/>
    <n v="26"/>
    <n v="0"/>
    <x v="0"/>
  </r>
  <r>
    <x v="1"/>
    <s v="Tue"/>
    <n v="14"/>
    <s v="Apr"/>
    <n v="2026"/>
    <x v="0"/>
    <s v="Support"/>
    <s v="Billing"/>
    <s v="INT1006"/>
    <s v="Inbound"/>
    <s v="C9006"/>
    <s v="USA"/>
    <s v="Standard"/>
    <s v="A101"/>
    <x v="0"/>
    <x v="0"/>
    <x v="0"/>
    <x v="0"/>
    <s v="Noida"/>
    <s v="Morning"/>
    <d v="1899-12-30T09:00:00"/>
    <d v="1899-12-30T18:00:00"/>
    <d v="1899-12-30T09:02:00"/>
    <d v="1899-12-30T18:00:00"/>
    <n v="9"/>
    <n v="8.9"/>
    <n v="15"/>
    <n v="30"/>
    <n v="9"/>
    <x v="5"/>
    <x v="3"/>
    <x v="2"/>
    <n v="445"/>
    <n v="33"/>
    <n v="42"/>
    <n v="300"/>
    <x v="0"/>
    <s v="Yes"/>
    <s v="No"/>
    <s v="No"/>
    <x v="5"/>
    <n v="62"/>
    <x v="5"/>
    <n v="9"/>
    <n v="9"/>
    <n v="9"/>
    <n v="9"/>
    <x v="0"/>
    <n v="86"/>
    <n v="19"/>
    <n v="1020"/>
    <n v="29"/>
    <n v="27"/>
    <n v="0"/>
    <x v="0"/>
  </r>
  <r>
    <x v="1"/>
    <s v="Tue"/>
    <n v="14"/>
    <s v="Apr"/>
    <n v="2026"/>
    <x v="0"/>
    <s v="Support"/>
    <s v="Returns"/>
    <s v="INT1007"/>
    <s v="Inbound"/>
    <s v="C9007"/>
    <s v="UK"/>
    <s v="Premium"/>
    <s v="A102"/>
    <x v="1"/>
    <x v="0"/>
    <x v="0"/>
    <x v="0"/>
    <s v="Noida"/>
    <s v="Morning"/>
    <d v="1899-12-30T09:00:00"/>
    <d v="1899-12-30T18:00:00"/>
    <d v="1899-12-30T09:00:00"/>
    <d v="1899-12-30T18:03:00"/>
    <n v="9"/>
    <n v="8.8000000000000007"/>
    <n v="15"/>
    <n v="30"/>
    <n v="8"/>
    <x v="6"/>
    <x v="5"/>
    <x v="0"/>
    <n v="470"/>
    <n v="36"/>
    <n v="47"/>
    <n v="304"/>
    <x v="5"/>
    <s v="Yes"/>
    <s v="No"/>
    <s v="No"/>
    <x v="3"/>
    <n v="72"/>
    <x v="6"/>
    <n v="10"/>
    <n v="9"/>
    <n v="9"/>
    <n v="9"/>
    <x v="1"/>
    <n v="89"/>
    <n v="17"/>
    <n v="1020"/>
    <n v="29"/>
    <n v="27"/>
    <n v="1"/>
    <x v="0"/>
  </r>
  <r>
    <x v="1"/>
    <s v="Tue"/>
    <n v="14"/>
    <s v="Apr"/>
    <n v="2026"/>
    <x v="0"/>
    <s v="Support"/>
    <s v="Billing"/>
    <s v="INT1008"/>
    <s v="Inbound"/>
    <s v="C9008"/>
    <s v="Canada"/>
    <s v="Standard"/>
    <s v="A103"/>
    <x v="2"/>
    <x v="1"/>
    <x v="1"/>
    <x v="0"/>
    <s v="Noida"/>
    <s v="Morning"/>
    <d v="1899-12-30T09:00:00"/>
    <d v="1899-12-30T18:00:00"/>
    <d v="1899-12-30T09:05:00"/>
    <d v="1899-12-30T17:59:00"/>
    <n v="9"/>
    <n v="8.6"/>
    <n v="20"/>
    <n v="30"/>
    <n v="12"/>
    <x v="7"/>
    <x v="6"/>
    <x v="1"/>
    <n v="410"/>
    <n v="30"/>
    <n v="41"/>
    <n v="296"/>
    <x v="6"/>
    <s v="Yes"/>
    <s v="No"/>
    <s v="No"/>
    <x v="2"/>
    <n v="55"/>
    <x v="7"/>
    <n v="8"/>
    <n v="8"/>
    <n v="8"/>
    <n v="9"/>
    <x v="5"/>
    <n v="83"/>
    <n v="20"/>
    <n v="1020"/>
    <n v="29"/>
    <n v="27"/>
    <n v="0"/>
    <x v="0"/>
  </r>
  <r>
    <x v="1"/>
    <s v="Tue"/>
    <n v="14"/>
    <s v="Apr"/>
    <n v="2026"/>
    <x v="0"/>
    <s v="Support"/>
    <s v="Delivery"/>
    <s v="INT1009"/>
    <s v="Inbound"/>
    <s v="C9009"/>
    <s v="USA"/>
    <s v="Premium"/>
    <s v="A104"/>
    <x v="3"/>
    <x v="1"/>
    <x v="1"/>
    <x v="0"/>
    <s v="Noida"/>
    <s v="Morning"/>
    <d v="1899-12-30T09:00:00"/>
    <d v="1899-12-30T18:00:00"/>
    <d v="1899-12-30T09:01:00"/>
    <d v="1899-12-30T18:04:00"/>
    <n v="9"/>
    <n v="8.9"/>
    <n v="15"/>
    <n v="30"/>
    <n v="10"/>
    <x v="8"/>
    <x v="7"/>
    <x v="0"/>
    <n v="452"/>
    <n v="34"/>
    <n v="46"/>
    <n v="301"/>
    <x v="7"/>
    <s v="Yes"/>
    <s v="No"/>
    <s v="No"/>
    <x v="6"/>
    <n v="75"/>
    <x v="8"/>
    <n v="9"/>
    <n v="10"/>
    <n v="9"/>
    <n v="10"/>
    <x v="3"/>
    <n v="90"/>
    <n v="16"/>
    <n v="1020"/>
    <n v="29"/>
    <n v="27"/>
    <n v="1"/>
    <x v="0"/>
  </r>
  <r>
    <x v="1"/>
    <s v="Tue"/>
    <n v="14"/>
    <s v="Apr"/>
    <n v="2026"/>
    <x v="0"/>
    <s v="Support"/>
    <s v="Billing"/>
    <s v="INT1010"/>
    <s v="Inbound"/>
    <s v="C9010"/>
    <s v="USA"/>
    <s v="Standard"/>
    <s v="A105"/>
    <x v="4"/>
    <x v="2"/>
    <x v="2"/>
    <x v="0"/>
    <s v="Noida"/>
    <s v="Morning"/>
    <d v="1899-12-30T09:00:00"/>
    <d v="1899-12-30T18:00:00"/>
    <d v="1899-12-30T09:03:00"/>
    <d v="1899-12-30T18:02:00"/>
    <n v="9"/>
    <n v="8.6999999999999993"/>
    <n v="18"/>
    <n v="30"/>
    <n v="11"/>
    <x v="9"/>
    <x v="8"/>
    <x v="0"/>
    <n v="438"/>
    <n v="31"/>
    <n v="44"/>
    <n v="299"/>
    <x v="8"/>
    <s v="Yes"/>
    <s v="No"/>
    <s v="No"/>
    <x v="0"/>
    <n v="60"/>
    <x v="0"/>
    <n v="9"/>
    <n v="9"/>
    <n v="8"/>
    <n v="9"/>
    <x v="4"/>
    <n v="85"/>
    <n v="19"/>
    <n v="1020"/>
    <n v="29"/>
    <n v="27"/>
    <n v="0"/>
    <x v="0"/>
  </r>
  <r>
    <x v="2"/>
    <s v="Wed"/>
    <n v="14"/>
    <s v="Apr"/>
    <n v="2026"/>
    <x v="0"/>
    <s v="Support"/>
    <s v="Billing"/>
    <s v="INT1011"/>
    <s v="Inbound"/>
    <s v="C9011"/>
    <s v="USA"/>
    <s v="Premium"/>
    <s v="A101"/>
    <x v="0"/>
    <x v="0"/>
    <x v="0"/>
    <x v="0"/>
    <s v="Noida"/>
    <s v="Morning"/>
    <d v="1899-12-30T09:00:00"/>
    <d v="1899-12-30T18:00:00"/>
    <d v="1899-12-30T09:02:00"/>
    <d v="1899-12-30T18:00:00"/>
    <n v="9"/>
    <n v="8.8000000000000007"/>
    <n v="15"/>
    <n v="30"/>
    <n v="9"/>
    <x v="10"/>
    <x v="9"/>
    <x v="2"/>
    <n v="430"/>
    <n v="31"/>
    <n v="43"/>
    <n v="298"/>
    <x v="4"/>
    <s v="Yes"/>
    <s v="No"/>
    <s v="No"/>
    <x v="5"/>
    <n v="63"/>
    <x v="5"/>
    <n v="9"/>
    <n v="9"/>
    <n v="9"/>
    <n v="9"/>
    <x v="0"/>
    <n v="86"/>
    <n v="18"/>
    <n v="1010"/>
    <n v="28"/>
    <n v="27"/>
    <n v="0"/>
    <x v="0"/>
  </r>
  <r>
    <x v="2"/>
    <s v="Wed"/>
    <n v="14"/>
    <s v="Apr"/>
    <n v="2026"/>
    <x v="0"/>
    <s v="Support"/>
    <s v="Returns"/>
    <s v="INT1012"/>
    <s v="Inbound"/>
    <s v="C9012"/>
    <s v="UK"/>
    <s v="Standard"/>
    <s v="A102"/>
    <x v="1"/>
    <x v="0"/>
    <x v="0"/>
    <x v="0"/>
    <s v="Noida"/>
    <s v="Morning"/>
    <d v="1899-12-30T09:00:00"/>
    <d v="1899-12-30T18:00:00"/>
    <d v="1899-12-30T09:00:00"/>
    <d v="1899-12-30T18:02:00"/>
    <n v="9"/>
    <n v="8.9"/>
    <n v="15"/>
    <n v="30"/>
    <n v="8"/>
    <x v="11"/>
    <x v="10"/>
    <x v="1"/>
    <n v="480"/>
    <n v="37"/>
    <n v="48"/>
    <n v="305"/>
    <x v="1"/>
    <s v="Yes"/>
    <s v="No"/>
    <s v="No"/>
    <x v="3"/>
    <n v="70"/>
    <x v="6"/>
    <n v="10"/>
    <n v="9"/>
    <n v="9"/>
    <n v="9"/>
    <x v="1"/>
    <n v="89"/>
    <n v="17"/>
    <n v="1010"/>
    <n v="28"/>
    <n v="27"/>
    <n v="1"/>
    <x v="0"/>
  </r>
  <r>
    <x v="2"/>
    <s v="Wed"/>
    <n v="14"/>
    <s v="Apr"/>
    <n v="2026"/>
    <x v="0"/>
    <s v="Support"/>
    <s v="Billing"/>
    <s v="INT1013"/>
    <s v="Inbound"/>
    <s v="C9013"/>
    <s v="Canada"/>
    <s v="Premium"/>
    <s v="A103"/>
    <x v="2"/>
    <x v="1"/>
    <x v="1"/>
    <x v="0"/>
    <s v="Noida"/>
    <s v="Morning"/>
    <d v="1899-12-30T09:00:00"/>
    <d v="1899-12-30T18:00:00"/>
    <d v="1899-12-30T09:06:00"/>
    <d v="1899-12-30T17:59:00"/>
    <n v="9"/>
    <n v="8.5"/>
    <n v="20"/>
    <n v="30"/>
    <n v="12"/>
    <x v="12"/>
    <x v="11"/>
    <x v="0"/>
    <n v="400"/>
    <n v="29"/>
    <n v="40"/>
    <n v="297"/>
    <x v="9"/>
    <s v="Yes"/>
    <s v="No"/>
    <s v="No"/>
    <x v="4"/>
    <n v="56"/>
    <x v="7"/>
    <n v="8"/>
    <n v="8"/>
    <n v="8"/>
    <n v="9"/>
    <x v="5"/>
    <n v="83"/>
    <n v="20"/>
    <n v="1010"/>
    <n v="28"/>
    <n v="27"/>
    <n v="0"/>
    <x v="0"/>
  </r>
  <r>
    <x v="2"/>
    <s v="Wed"/>
    <n v="14"/>
    <s v="Apr"/>
    <n v="2026"/>
    <x v="0"/>
    <s v="Support"/>
    <s v="Delivery"/>
    <s v="INT1014"/>
    <s v="Inbound"/>
    <s v="C9014"/>
    <s v="USA"/>
    <s v="Standard"/>
    <s v="A104"/>
    <x v="3"/>
    <x v="1"/>
    <x v="1"/>
    <x v="0"/>
    <s v="Noida"/>
    <s v="Morning"/>
    <d v="1899-12-30T09:00:00"/>
    <d v="1899-12-30T18:00:00"/>
    <d v="1899-12-30T09:02:00"/>
    <d v="1899-12-30T18:03:00"/>
    <n v="9"/>
    <n v="8.8000000000000007"/>
    <n v="15"/>
    <n v="30"/>
    <n v="9"/>
    <x v="13"/>
    <x v="12"/>
    <x v="0"/>
    <n v="450"/>
    <n v="34"/>
    <n v="46"/>
    <n v="300"/>
    <x v="0"/>
    <s v="Yes"/>
    <s v="No"/>
    <s v="No"/>
    <x v="6"/>
    <n v="74"/>
    <x v="8"/>
    <n v="9"/>
    <n v="10"/>
    <n v="9"/>
    <n v="10"/>
    <x v="3"/>
    <n v="89"/>
    <n v="17"/>
    <n v="1010"/>
    <n v="28"/>
    <n v="27"/>
    <n v="0"/>
    <x v="0"/>
  </r>
  <r>
    <x v="2"/>
    <s v="Wed"/>
    <n v="14"/>
    <s v="Apr"/>
    <n v="2026"/>
    <x v="0"/>
    <s v="Support"/>
    <s v="Billing"/>
    <s v="INT1015"/>
    <s v="Inbound"/>
    <s v="C9015"/>
    <s v="USA"/>
    <s v="Premium"/>
    <s v="A105"/>
    <x v="4"/>
    <x v="2"/>
    <x v="2"/>
    <x v="0"/>
    <s v="Noida"/>
    <s v="Morning"/>
    <d v="1899-12-30T09:00:00"/>
    <d v="1899-12-30T18:00:00"/>
    <d v="1899-12-30T09:04:00"/>
    <d v="1899-12-30T18:01:00"/>
    <n v="9"/>
    <n v="8.6999999999999993"/>
    <n v="18"/>
    <n v="30"/>
    <n v="11"/>
    <x v="14"/>
    <x v="13"/>
    <x v="1"/>
    <n v="440"/>
    <n v="32"/>
    <n v="44"/>
    <n v="299"/>
    <x v="8"/>
    <s v="Yes"/>
    <s v="No"/>
    <s v="No"/>
    <x v="0"/>
    <n v="61"/>
    <x v="0"/>
    <n v="9"/>
    <n v="9"/>
    <n v="8"/>
    <n v="9"/>
    <x v="4"/>
    <n v="86"/>
    <n v="19"/>
    <n v="1010"/>
    <n v="28"/>
    <n v="27"/>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1960A-FD74-48B9-B942-1EEFFBA438A7}"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Names">
  <location ref="A1:F6" firstHeaderRow="0" firstDataRow="1" firstDataCol="1"/>
  <pivotFields count="57">
    <pivotField numFmtId="14"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4"/>
        <item h="1" x="3"/>
        <item x="1"/>
        <item x="0"/>
        <item t="default"/>
      </items>
    </pivotField>
    <pivotField showAll="0"/>
    <pivotField showAll="0"/>
    <pivotField showAll="0"/>
    <pivotField showAll="0"/>
    <pivotField showAll="0"/>
    <pivotField numFmtId="20" showAll="0"/>
    <pivotField numFmtId="20" showAll="0"/>
    <pivotField numFmtId="20" showAll="0"/>
    <pivotField numFmtId="20" showAll="0"/>
    <pivotField showAll="0"/>
    <pivotField showAll="0"/>
    <pivotField showAll="0"/>
    <pivotField showAll="0"/>
    <pivotField showAll="0"/>
    <pivotField dataField="1" showAll="0"/>
    <pivotField showAll="0"/>
    <pivotField showAll="0">
      <items count="4">
        <item x="2"/>
        <item x="0"/>
        <item x="1"/>
        <item t="default"/>
      </items>
    </pivotField>
    <pivotField showAll="0"/>
    <pivotField showAll="0"/>
    <pivotField showAll="0"/>
    <pivotField showAll="0"/>
    <pivotField dataField="1" showAll="0">
      <items count="11">
        <item x="2"/>
        <item x="6"/>
        <item x="9"/>
        <item x="4"/>
        <item x="8"/>
        <item x="0"/>
        <item x="7"/>
        <item x="3"/>
        <item x="5"/>
        <item x="1"/>
        <item t="default"/>
      </items>
    </pivotField>
    <pivotField showAll="0"/>
    <pivotField showAll="0"/>
    <pivotField showAll="0"/>
    <pivotField dataField="1" showAll="0">
      <items count="8">
        <item x="2"/>
        <item x="4"/>
        <item x="0"/>
        <item x="5"/>
        <item x="1"/>
        <item x="3"/>
        <item x="6"/>
        <item t="default"/>
      </items>
    </pivotField>
    <pivotField showAll="0"/>
    <pivotField dataField="1" showAll="0">
      <items count="10">
        <item x="2"/>
        <item x="7"/>
        <item x="4"/>
        <item x="0"/>
        <item x="5"/>
        <item x="1"/>
        <item x="3"/>
        <item x="6"/>
        <item x="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3"/>
    </i>
    <i>
      <x v="4"/>
    </i>
    <i t="grand">
      <x/>
    </i>
  </rowItems>
  <colFields count="1">
    <field x="-2"/>
  </colFields>
  <colItems count="5">
    <i>
      <x/>
    </i>
    <i i="1">
      <x v="1"/>
    </i>
    <i i="2">
      <x v="2"/>
    </i>
    <i i="3">
      <x v="3"/>
    </i>
    <i i="4">
      <x v="4"/>
    </i>
  </colItems>
  <dataFields count="5">
    <dataField name="  Total calls Handled " fld="29" baseField="0" baseItem="0"/>
    <dataField name=" Average AHT" fld="36" subtotal="average" baseField="14" baseItem="0"/>
    <dataField name=" Average C-sat" fld="40" subtotal="average" baseField="14" baseItem="0"/>
    <dataField name=" Average QA Score" fld="42" subtotal="average" baseField="14" baseItem="0"/>
    <dataField name="Average Adherence_Percentage" fld="47" subtotal="average" baseField="14" baseItem="0"/>
  </dataFields>
  <formats count="12">
    <format dxfId="1644">
      <pivotArea type="all" dataOnly="0" outline="0" fieldPosition="0"/>
    </format>
    <format dxfId="1645">
      <pivotArea outline="0" collapsedLevelsAreSubtotals="1" fieldPosition="0"/>
    </format>
    <format dxfId="1646">
      <pivotArea field="14" type="button" dataOnly="0" labelOnly="1" outline="0" axis="axisRow" fieldPosition="0"/>
    </format>
    <format dxfId="1647">
      <pivotArea dataOnly="0" labelOnly="1" fieldPosition="0">
        <references count="1">
          <reference field="14" count="0"/>
        </references>
      </pivotArea>
    </format>
    <format dxfId="1648">
      <pivotArea dataOnly="0" labelOnly="1" grandRow="1" outline="0" fieldPosition="0"/>
    </format>
    <format dxfId="1649">
      <pivotArea dataOnly="0" labelOnly="1" outline="0" fieldPosition="0">
        <references count="1">
          <reference field="4294967294" count="5">
            <x v="0"/>
            <x v="1"/>
            <x v="2"/>
            <x v="3"/>
            <x v="4"/>
          </reference>
        </references>
      </pivotArea>
    </format>
    <format dxfId="1650">
      <pivotArea type="all" dataOnly="0" outline="0" fieldPosition="0"/>
    </format>
    <format dxfId="1651">
      <pivotArea outline="0" collapsedLevelsAreSubtotals="1" fieldPosition="0"/>
    </format>
    <format dxfId="1652">
      <pivotArea field="14" type="button" dataOnly="0" labelOnly="1" outline="0" axis="axisRow" fieldPosition="0"/>
    </format>
    <format dxfId="1653">
      <pivotArea dataOnly="0" labelOnly="1" fieldPosition="0">
        <references count="1">
          <reference field="14" count="0"/>
        </references>
      </pivotArea>
    </format>
    <format dxfId="1654">
      <pivotArea dataOnly="0" labelOnly="1" grandRow="1" outline="0" fieldPosition="0"/>
    </format>
    <format dxfId="1655">
      <pivotArea dataOnly="0" labelOnly="1" outline="0" fieldPosition="0">
        <references count="1">
          <reference field="4294967294" count="5">
            <x v="0"/>
            <x v="1"/>
            <x v="2"/>
            <x v="3"/>
            <x v="4"/>
          </reference>
        </references>
      </pivotArea>
    </format>
  </formats>
  <conditionalFormats count="5">
    <conditionalFormat priority="1">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 priority="3">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references count="1">
            <reference field="4294967294" count="1" selected="0">
              <x v="1"/>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chartFormats count="5">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B3ECC-0878-442C-A140-F6EFADDBC4A0}"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6" firstHeaderRow="0" firstDataRow="1" firstDataCol="1"/>
  <pivotFields count="57">
    <pivotField numFmtId="14"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4"/>
        <item h="1" x="3"/>
        <item x="1"/>
        <item x="0"/>
        <item t="default"/>
      </items>
    </pivotField>
    <pivotField showAll="0"/>
    <pivotField showAll="0"/>
    <pivotField showAll="0"/>
    <pivotField showAll="0"/>
    <pivotField showAll="0"/>
    <pivotField numFmtId="20" showAll="0"/>
    <pivotField numFmtId="20" showAll="0"/>
    <pivotField numFmtId="20" showAll="0"/>
    <pivotField numFmtId="20" showAll="0"/>
    <pivotField showAll="0"/>
    <pivotField showAll="0"/>
    <pivotField showAll="0"/>
    <pivotField showAll="0"/>
    <pivotField showAll="0"/>
    <pivotField dataField="1" showAll="0"/>
    <pivotField dataField="1" showAll="0">
      <items count="15">
        <item x="2"/>
        <item x="11"/>
        <item x="6"/>
        <item x="0"/>
        <item x="4"/>
        <item x="9"/>
        <item x="8"/>
        <item x="13"/>
        <item x="3"/>
        <item x="12"/>
        <item x="7"/>
        <item x="1"/>
        <item x="5"/>
        <item x="10"/>
        <item t="default"/>
      </items>
    </pivotField>
    <pivotField dataField="1" showAll="0">
      <items count="4">
        <item x="2"/>
        <item x="0"/>
        <item x="1"/>
        <item t="default"/>
      </items>
    </pivotField>
    <pivotField showAll="0"/>
    <pivotField showAll="0"/>
    <pivotField showAll="0"/>
    <pivotField showAll="0"/>
    <pivotField showAll="0">
      <items count="11">
        <item x="2"/>
        <item x="6"/>
        <item x="9"/>
        <item x="4"/>
        <item x="8"/>
        <item x="0"/>
        <item x="7"/>
        <item x="3"/>
        <item x="5"/>
        <item x="1"/>
        <item t="default"/>
      </items>
    </pivotField>
    <pivotField showAll="0"/>
    <pivotField showAll="0"/>
    <pivotField showAll="0"/>
    <pivotField showAll="0">
      <items count="8">
        <item x="2"/>
        <item x="4"/>
        <item x="0"/>
        <item x="5"/>
        <item x="1"/>
        <item x="3"/>
        <item x="6"/>
        <item t="default"/>
      </items>
    </pivotField>
    <pivotField showAll="0"/>
    <pivotField showAll="0">
      <items count="10">
        <item x="2"/>
        <item x="7"/>
        <item x="4"/>
        <item x="0"/>
        <item x="5"/>
        <item x="1"/>
        <item x="3"/>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56"/>
    <field x="55"/>
  </rowFields>
  <rowItems count="5">
    <i>
      <x v="4"/>
    </i>
    <i r="1">
      <x v="92"/>
    </i>
    <i r="1">
      <x v="93"/>
    </i>
    <i r="1">
      <x v="94"/>
    </i>
    <i t="grand">
      <x/>
    </i>
  </rowItems>
  <colFields count="1">
    <field x="-2"/>
  </colFields>
  <colItems count="3">
    <i>
      <x/>
    </i>
    <i i="1">
      <x v="1"/>
    </i>
    <i i="2">
      <x v="2"/>
    </i>
  </colItems>
  <dataFields count="3">
    <dataField name="Sum of Calls_Offered" fld="30" baseField="0" baseItem="0"/>
    <dataField name="Sum of Calls_Handled" fld="29" baseField="0" baseItem="0"/>
    <dataField name="Sum of Calls_Abandoned" fld="31" baseField="0" baseItem="0"/>
  </dataFields>
  <formats count="14">
    <format dxfId="1630">
      <pivotArea type="all" dataOnly="0" outline="0" fieldPosition="0"/>
    </format>
    <format dxfId="1631">
      <pivotArea outline="0" collapsedLevelsAreSubtotals="1" fieldPosition="0"/>
    </format>
    <format dxfId="1632">
      <pivotArea field="56" type="button" dataOnly="0" labelOnly="1" outline="0" axis="axisRow" fieldPosition="0"/>
    </format>
    <format dxfId="1633">
      <pivotArea dataOnly="0" labelOnly="1" fieldPosition="0">
        <references count="1">
          <reference field="56" count="1">
            <x v="4"/>
          </reference>
        </references>
      </pivotArea>
    </format>
    <format dxfId="1634">
      <pivotArea dataOnly="0" labelOnly="1" grandRow="1" outline="0" fieldPosition="0"/>
    </format>
    <format dxfId="1635">
      <pivotArea dataOnly="0" labelOnly="1" fieldPosition="0">
        <references count="2">
          <reference field="55" count="3">
            <x v="92"/>
            <x v="93"/>
            <x v="94"/>
          </reference>
          <reference field="56" count="1" selected="0">
            <x v="4"/>
          </reference>
        </references>
      </pivotArea>
    </format>
    <format dxfId="1636">
      <pivotArea dataOnly="0" labelOnly="1" outline="0" fieldPosition="0">
        <references count="1">
          <reference field="4294967294" count="3">
            <x v="0"/>
            <x v="1"/>
            <x v="2"/>
          </reference>
        </references>
      </pivotArea>
    </format>
    <format dxfId="1637">
      <pivotArea type="all" dataOnly="0" outline="0" fieldPosition="0"/>
    </format>
    <format dxfId="1638">
      <pivotArea outline="0" collapsedLevelsAreSubtotals="1" fieldPosition="0"/>
    </format>
    <format dxfId="1639">
      <pivotArea field="56" type="button" dataOnly="0" labelOnly="1" outline="0" axis="axisRow" fieldPosition="0"/>
    </format>
    <format dxfId="1640">
      <pivotArea dataOnly="0" labelOnly="1" fieldPosition="0">
        <references count="1">
          <reference field="56" count="1">
            <x v="4"/>
          </reference>
        </references>
      </pivotArea>
    </format>
    <format dxfId="1641">
      <pivotArea dataOnly="0" labelOnly="1" grandRow="1" outline="0" fieldPosition="0"/>
    </format>
    <format dxfId="1642">
      <pivotArea dataOnly="0" labelOnly="1" fieldPosition="0">
        <references count="2">
          <reference field="55" count="3">
            <x v="92"/>
            <x v="93"/>
            <x v="94"/>
          </reference>
          <reference field="56" count="1" selected="0">
            <x v="4"/>
          </reference>
        </references>
      </pivotArea>
    </format>
    <format dxfId="1643">
      <pivotArea dataOnly="0" labelOnly="1" outline="0" fieldPosition="0">
        <references count="1">
          <reference field="4294967294" count="3">
            <x v="0"/>
            <x v="1"/>
            <x v="2"/>
          </reference>
        </references>
      </pivotArea>
    </format>
  </formats>
  <conditionalFormats count="5">
    <conditionalFormat priority="1">
      <pivotAreas count="1">
        <pivotArea type="data" collapsedLevelsAreSubtotals="1" fieldPosition="0">
          <references count="3">
            <reference field="4294967294" count="1" selected="0">
              <x v="2"/>
            </reference>
            <reference field="55" count="3">
              <x v="92"/>
              <x v="93"/>
              <x v="94"/>
            </reference>
            <reference field="56" count="1" selected="0">
              <x v="4"/>
            </reference>
          </references>
        </pivotArea>
      </pivotAreas>
    </conditionalFormat>
    <conditionalFormat priority="2">
      <pivotAreas count="1">
        <pivotArea type="data" collapsedLevelsAreSubtotals="1" fieldPosition="0">
          <references count="3">
            <reference field="4294967294" count="1" selected="0">
              <x v="2"/>
            </reference>
            <reference field="55" count="3">
              <x v="92"/>
              <x v="93"/>
              <x v="94"/>
            </reference>
            <reference field="56" count="1" selected="0">
              <x v="4"/>
            </reference>
          </references>
        </pivotArea>
      </pivotAreas>
    </conditionalFormat>
    <conditionalFormat priority="3">
      <pivotAreas count="1">
        <pivotArea type="data" collapsedLevelsAreSubtotals="1" fieldPosition="0">
          <references count="3">
            <reference field="4294967294" count="1" selected="0">
              <x v="2"/>
            </reference>
            <reference field="55" count="3">
              <x v="92"/>
              <x v="93"/>
              <x v="94"/>
            </reference>
            <reference field="56" count="1" selected="0">
              <x v="4"/>
            </reference>
          </references>
        </pivotArea>
      </pivotAreas>
    </conditionalFormat>
    <conditionalFormat priority="4">
      <pivotAreas count="1">
        <pivotArea type="data" collapsedLevelsAreSubtotals="1" fieldPosition="0">
          <references count="3">
            <reference field="4294967294" count="1" selected="0">
              <x v="1"/>
            </reference>
            <reference field="55" count="3">
              <x v="92"/>
              <x v="93"/>
              <x v="94"/>
            </reference>
            <reference field="56" count="1" selected="0">
              <x v="4"/>
            </reference>
          </references>
        </pivotArea>
      </pivotAreas>
    </conditionalFormat>
    <conditionalFormat priority="5">
      <pivotAreas count="1">
        <pivotArea type="data" collapsedLevelsAreSubtotals="1" fieldPosition="0">
          <references count="3">
            <reference field="4294967294" count="1" selected="0">
              <x v="0"/>
            </reference>
            <reference field="55" count="3">
              <x v="92"/>
              <x v="93"/>
              <x v="94"/>
            </reference>
            <reference field="56" count="1" selected="0">
              <x v="4"/>
            </reference>
          </references>
        </pivotArea>
      </pivotAreas>
    </conditionalFormat>
  </conditionalFormats>
  <chartFormats count="12">
    <chartFormat chart="2" format="15" series="1">
      <pivotArea type="data" outline="0" fieldPosition="0">
        <references count="1">
          <reference field="4294967294" count="1" selected="0">
            <x v="0"/>
          </reference>
        </references>
      </pivotArea>
    </chartFormat>
    <chartFormat chart="2" format="16">
      <pivotArea type="data" outline="0" fieldPosition="0">
        <references count="3">
          <reference field="4294967294" count="1" selected="0">
            <x v="0"/>
          </reference>
          <reference field="55" count="1" selected="0">
            <x v="92"/>
          </reference>
          <reference field="56" count="1" selected="0">
            <x v="4"/>
          </reference>
        </references>
      </pivotArea>
    </chartFormat>
    <chartFormat chart="2" format="17">
      <pivotArea type="data" outline="0" fieldPosition="0">
        <references count="3">
          <reference field="4294967294" count="1" selected="0">
            <x v="0"/>
          </reference>
          <reference field="55" count="1" selected="0">
            <x v="93"/>
          </reference>
          <reference field="56" count="1" selected="0">
            <x v="4"/>
          </reference>
        </references>
      </pivotArea>
    </chartFormat>
    <chartFormat chart="2" format="18">
      <pivotArea type="data" outline="0" fieldPosition="0">
        <references count="3">
          <reference field="4294967294" count="1" selected="0">
            <x v="0"/>
          </reference>
          <reference field="55" count="1" selected="0">
            <x v="94"/>
          </reference>
          <reference field="56" count="1" selected="0">
            <x v="4"/>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3">
          <reference field="4294967294" count="1" selected="0">
            <x v="1"/>
          </reference>
          <reference field="55" count="1" selected="0">
            <x v="92"/>
          </reference>
          <reference field="56" count="1" selected="0">
            <x v="4"/>
          </reference>
        </references>
      </pivotArea>
    </chartFormat>
    <chartFormat chart="2" format="21">
      <pivotArea type="data" outline="0" fieldPosition="0">
        <references count="3">
          <reference field="4294967294" count="1" selected="0">
            <x v="1"/>
          </reference>
          <reference field="55" count="1" selected="0">
            <x v="93"/>
          </reference>
          <reference field="56" count="1" selected="0">
            <x v="4"/>
          </reference>
        </references>
      </pivotArea>
    </chartFormat>
    <chartFormat chart="2" format="22">
      <pivotArea type="data" outline="0" fieldPosition="0">
        <references count="3">
          <reference field="4294967294" count="1" selected="0">
            <x v="1"/>
          </reference>
          <reference field="55" count="1" selected="0">
            <x v="94"/>
          </reference>
          <reference field="56" count="1" selected="0">
            <x v="4"/>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3">
          <reference field="4294967294" count="1" selected="0">
            <x v="2"/>
          </reference>
          <reference field="55" count="1" selected="0">
            <x v="92"/>
          </reference>
          <reference field="56" count="1" selected="0">
            <x v="4"/>
          </reference>
        </references>
      </pivotArea>
    </chartFormat>
    <chartFormat chart="2" format="25">
      <pivotArea type="data" outline="0" fieldPosition="0">
        <references count="3">
          <reference field="4294967294" count="1" selected="0">
            <x v="2"/>
          </reference>
          <reference field="55" count="1" selected="0">
            <x v="93"/>
          </reference>
          <reference field="56" count="1" selected="0">
            <x v="4"/>
          </reference>
        </references>
      </pivotArea>
    </chartFormat>
    <chartFormat chart="2" format="26">
      <pivotArea type="data" outline="0" fieldPosition="0">
        <references count="3">
          <reference field="4294967294" count="1" selected="0">
            <x v="2"/>
          </reference>
          <reference field="55" count="1" selected="0">
            <x v="94"/>
          </reference>
          <reference field="5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73D5D-2D8D-49D9-BDE1-78DC8FBF732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8" firstHeaderRow="0" firstDataRow="1" firstDataCol="1"/>
  <pivotFields count="57">
    <pivotField numFmtId="14" showAll="0">
      <items count="4">
        <item x="0"/>
        <item x="1"/>
        <item x="2"/>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axis="axisRow" showAll="0">
      <items count="6">
        <item x="2"/>
        <item x="4"/>
        <item h="1" x="3"/>
        <item x="1"/>
        <item x="0"/>
        <item t="default"/>
      </items>
    </pivotField>
    <pivotField showAll="0"/>
    <pivotField showAll="0"/>
    <pivotField showAll="0"/>
    <pivotField showAll="0"/>
    <pivotField showAll="0"/>
    <pivotField numFmtId="20" showAll="0"/>
    <pivotField numFmtId="20" showAll="0"/>
    <pivotField numFmtId="20" showAll="0"/>
    <pivotField numFmtId="20"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11">
        <item x="2"/>
        <item x="6"/>
        <item x="9"/>
        <item x="4"/>
        <item x="8"/>
        <item x="0"/>
        <item x="7"/>
        <item x="3"/>
        <item x="5"/>
        <item x="1"/>
        <item t="default"/>
      </items>
    </pivotField>
    <pivotField showAll="0"/>
    <pivotField showAll="0"/>
    <pivotField showAll="0"/>
    <pivotField showAll="0">
      <items count="8">
        <item x="2"/>
        <item x="4"/>
        <item x="0"/>
        <item x="5"/>
        <item x="1"/>
        <item x="3"/>
        <item x="6"/>
        <item t="default"/>
      </items>
    </pivotField>
    <pivotField showAll="0"/>
    <pivotField dataField="1" showAll="0">
      <items count="10">
        <item x="2"/>
        <item x="7"/>
        <item x="4"/>
        <item x="0"/>
        <item x="5"/>
        <item x="1"/>
        <item x="3"/>
        <item x="6"/>
        <item x="8"/>
        <item t="default"/>
      </items>
    </pivotField>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3"/>
    </i>
    <i>
      <x v="4"/>
    </i>
    <i t="grand">
      <x/>
    </i>
  </rowItems>
  <colFields count="1">
    <field x="-2"/>
  </colFields>
  <colItems count="4">
    <i>
      <x/>
    </i>
    <i i="1">
      <x v="1"/>
    </i>
    <i i="2">
      <x v="2"/>
    </i>
    <i i="3">
      <x v="3"/>
    </i>
  </colItems>
  <dataFields count="4">
    <dataField name="Average of QA_Score" fld="42" subtotal="average" baseField="14" baseItem="0"/>
    <dataField name="Average of Greeting_Score" fld="43" subtotal="average" baseField="14" baseItem="0"/>
    <dataField name="Average of Resolution_Score" fld="44" subtotal="average" baseField="14" baseItem="0"/>
    <dataField name="Average of Compliance_Score" fld="46" subtotal="average" baseField="14" baseItem="0"/>
  </dataFields>
  <formats count="12">
    <format dxfId="1667">
      <pivotArea type="all" dataOnly="0" outline="0" fieldPosition="0"/>
    </format>
    <format dxfId="1666">
      <pivotArea outline="0" collapsedLevelsAreSubtotals="1" fieldPosition="0"/>
    </format>
    <format dxfId="1665">
      <pivotArea field="14" type="button" dataOnly="0" labelOnly="1" outline="0" axis="axisRow" fieldPosition="0"/>
    </format>
    <format dxfId="1664">
      <pivotArea dataOnly="0" labelOnly="1" fieldPosition="0">
        <references count="1">
          <reference field="14" count="0"/>
        </references>
      </pivotArea>
    </format>
    <format dxfId="1663">
      <pivotArea dataOnly="0" labelOnly="1" grandRow="1" outline="0" fieldPosition="0"/>
    </format>
    <format dxfId="1662">
      <pivotArea dataOnly="0" labelOnly="1" outline="0" fieldPosition="0">
        <references count="1">
          <reference field="4294967294" count="4">
            <x v="0"/>
            <x v="1"/>
            <x v="2"/>
            <x v="3"/>
          </reference>
        </references>
      </pivotArea>
    </format>
    <format dxfId="1661">
      <pivotArea type="all" dataOnly="0" outline="0" fieldPosition="0"/>
    </format>
    <format dxfId="1660">
      <pivotArea outline="0" collapsedLevelsAreSubtotals="1" fieldPosition="0"/>
    </format>
    <format dxfId="1659">
      <pivotArea field="14" type="button" dataOnly="0" labelOnly="1" outline="0" axis="axisRow" fieldPosition="0"/>
    </format>
    <format dxfId="1658">
      <pivotArea dataOnly="0" labelOnly="1" fieldPosition="0">
        <references count="1">
          <reference field="14" count="0"/>
        </references>
      </pivotArea>
    </format>
    <format dxfId="1657">
      <pivotArea dataOnly="0" labelOnly="1" grandRow="1" outline="0" fieldPosition="0"/>
    </format>
    <format dxfId="1656">
      <pivotArea dataOnly="0" labelOnly="1" outline="0" fieldPosition="0">
        <references count="1">
          <reference field="4294967294" count="4">
            <x v="0"/>
            <x v="1"/>
            <x v="2"/>
            <x v="3"/>
          </reference>
        </references>
      </pivotArea>
    </format>
  </formats>
  <conditionalFormats count="4">
    <conditionalFormat priority="1">
      <pivotAreas count="1">
        <pivotArea type="data" collapsedLevelsAreSubtotals="1" fieldPosition="0">
          <references count="2">
            <reference field="4294967294" count="1" selected="0">
              <x v="3"/>
            </reference>
            <reference field="14" count="5">
              <x v="0"/>
              <x v="1"/>
              <x v="2"/>
              <x v="3"/>
              <x v="4"/>
            </reference>
          </references>
        </pivotArea>
      </pivotAreas>
    </conditionalFormat>
    <conditionalFormat priority="2">
      <pivotAreas count="1">
        <pivotArea type="data" collapsedLevelsAreSubtotals="1" fieldPosition="0">
          <references count="2">
            <reference field="4294967294" count="1" selected="0">
              <x v="2"/>
            </reference>
            <reference field="14" count="5">
              <x v="0"/>
              <x v="1"/>
              <x v="2"/>
              <x v="3"/>
              <x v="4"/>
            </reference>
          </references>
        </pivotArea>
      </pivotAreas>
    </conditionalFormat>
    <conditionalFormat priority="3">
      <pivotAreas count="1">
        <pivotArea type="data" collapsedLevelsAreSubtotals="1" fieldPosition="0">
          <references count="2">
            <reference field="4294967294" count="1" selected="0">
              <x v="1"/>
            </reference>
            <reference field="14" count="5">
              <x v="0"/>
              <x v="1"/>
              <x v="2"/>
              <x v="3"/>
              <x v="4"/>
            </reference>
          </references>
        </pivotArea>
      </pivotAreas>
    </conditionalFormat>
    <conditionalFormat priority="4">
      <pivotAreas count="1">
        <pivotArea type="data" collapsedLevelsAreSubtotals="1" fieldPosition="0">
          <references count="2">
            <reference field="4294967294" count="1" selected="0">
              <x v="0"/>
            </reference>
            <reference field="14" count="5">
              <x v="0"/>
              <x v="1"/>
              <x v="2"/>
              <x v="3"/>
              <x v="4"/>
            </reference>
          </references>
        </pivotArea>
      </pivotAreas>
    </conditionalFormat>
  </conditional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14" count="1" selected="0">
            <x v="0"/>
          </reference>
        </references>
      </pivotArea>
    </chartFormat>
    <chartFormat chart="2" format="30">
      <pivotArea type="data" outline="0" fieldPosition="0">
        <references count="2">
          <reference field="4294967294" count="1" selected="0">
            <x v="0"/>
          </reference>
          <reference field="14" count="1" selected="0">
            <x v="1"/>
          </reference>
        </references>
      </pivotArea>
    </chartFormat>
    <chartFormat chart="2" format="31">
      <pivotArea type="data" outline="0" fieldPosition="0">
        <references count="2">
          <reference field="4294967294" count="1" selected="0">
            <x v="0"/>
          </reference>
          <reference field="14" count="1" selected="0">
            <x v="2"/>
          </reference>
        </references>
      </pivotArea>
    </chartFormat>
    <chartFormat chart="2" format="32">
      <pivotArea type="data" outline="0" fieldPosition="0">
        <references count="2">
          <reference field="4294967294" count="1" selected="0">
            <x v="0"/>
          </reference>
          <reference field="14" count="1" selected="0">
            <x v="3"/>
          </reference>
        </references>
      </pivotArea>
    </chartFormat>
    <chartFormat chart="2" format="33">
      <pivotArea type="data" outline="0" fieldPosition="0">
        <references count="2">
          <reference field="4294967294" count="1" selected="0">
            <x v="0"/>
          </reference>
          <reference field="14" count="1" selected="0">
            <x v="4"/>
          </reference>
        </references>
      </pivotArea>
    </chartFormat>
    <chartFormat chart="2" format="34" series="1">
      <pivotArea type="data" outline="0" fieldPosition="0">
        <references count="1">
          <reference field="4294967294" count="1" selected="0">
            <x v="1"/>
          </reference>
        </references>
      </pivotArea>
    </chartFormat>
    <chartFormat chart="2" format="35">
      <pivotArea type="data" outline="0" fieldPosition="0">
        <references count="2">
          <reference field="4294967294" count="1" selected="0">
            <x v="1"/>
          </reference>
          <reference field="14" count="1" selected="0">
            <x v="0"/>
          </reference>
        </references>
      </pivotArea>
    </chartFormat>
    <chartFormat chart="2" format="36">
      <pivotArea type="data" outline="0" fieldPosition="0">
        <references count="2">
          <reference field="4294967294" count="1" selected="0">
            <x v="1"/>
          </reference>
          <reference field="14" count="1" selected="0">
            <x v="1"/>
          </reference>
        </references>
      </pivotArea>
    </chartFormat>
    <chartFormat chart="2" format="37">
      <pivotArea type="data" outline="0" fieldPosition="0">
        <references count="2">
          <reference field="4294967294" count="1" selected="0">
            <x v="1"/>
          </reference>
          <reference field="14" count="1" selected="0">
            <x v="2"/>
          </reference>
        </references>
      </pivotArea>
    </chartFormat>
    <chartFormat chart="2" format="38">
      <pivotArea type="data" outline="0" fieldPosition="0">
        <references count="2">
          <reference field="4294967294" count="1" selected="0">
            <x v="1"/>
          </reference>
          <reference field="14" count="1" selected="0">
            <x v="3"/>
          </reference>
        </references>
      </pivotArea>
    </chartFormat>
    <chartFormat chart="2" format="39">
      <pivotArea type="data" outline="0" fieldPosition="0">
        <references count="2">
          <reference field="4294967294" count="1" selected="0">
            <x v="1"/>
          </reference>
          <reference field="14" count="1" selected="0">
            <x v="4"/>
          </reference>
        </references>
      </pivotArea>
    </chartFormat>
    <chartFormat chart="2" format="40" series="1">
      <pivotArea type="data" outline="0" fieldPosition="0">
        <references count="1">
          <reference field="4294967294" count="1" selected="0">
            <x v="2"/>
          </reference>
        </references>
      </pivotArea>
    </chartFormat>
    <chartFormat chart="2" format="41">
      <pivotArea type="data" outline="0" fieldPosition="0">
        <references count="2">
          <reference field="4294967294" count="1" selected="0">
            <x v="2"/>
          </reference>
          <reference field="14" count="1" selected="0">
            <x v="0"/>
          </reference>
        </references>
      </pivotArea>
    </chartFormat>
    <chartFormat chart="2" format="42">
      <pivotArea type="data" outline="0" fieldPosition="0">
        <references count="2">
          <reference field="4294967294" count="1" selected="0">
            <x v="2"/>
          </reference>
          <reference field="14" count="1" selected="0">
            <x v="1"/>
          </reference>
        </references>
      </pivotArea>
    </chartFormat>
    <chartFormat chart="2" format="43">
      <pivotArea type="data" outline="0" fieldPosition="0">
        <references count="2">
          <reference field="4294967294" count="1" selected="0">
            <x v="2"/>
          </reference>
          <reference field="14" count="1" selected="0">
            <x v="2"/>
          </reference>
        </references>
      </pivotArea>
    </chartFormat>
    <chartFormat chart="2" format="44">
      <pivotArea type="data" outline="0" fieldPosition="0">
        <references count="2">
          <reference field="4294967294" count="1" selected="0">
            <x v="2"/>
          </reference>
          <reference field="14" count="1" selected="0">
            <x v="3"/>
          </reference>
        </references>
      </pivotArea>
    </chartFormat>
    <chartFormat chart="2" format="45">
      <pivotArea type="data" outline="0" fieldPosition="0">
        <references count="2">
          <reference field="4294967294" count="1" selected="0">
            <x v="2"/>
          </reference>
          <reference field="14" count="1" selected="0">
            <x v="4"/>
          </reference>
        </references>
      </pivotArea>
    </chartFormat>
    <chartFormat chart="2" format="46" series="1">
      <pivotArea type="data" outline="0" fieldPosition="0">
        <references count="1">
          <reference field="4294967294" count="1" selected="0">
            <x v="3"/>
          </reference>
        </references>
      </pivotArea>
    </chartFormat>
    <chartFormat chart="2" format="47">
      <pivotArea type="data" outline="0" fieldPosition="0">
        <references count="2">
          <reference field="4294967294" count="1" selected="0">
            <x v="3"/>
          </reference>
          <reference field="14" count="1" selected="0">
            <x v="0"/>
          </reference>
        </references>
      </pivotArea>
    </chartFormat>
    <chartFormat chart="2" format="48">
      <pivotArea type="data" outline="0" fieldPosition="0">
        <references count="2">
          <reference field="4294967294" count="1" selected="0">
            <x v="3"/>
          </reference>
          <reference field="14" count="1" selected="0">
            <x v="1"/>
          </reference>
        </references>
      </pivotArea>
    </chartFormat>
    <chartFormat chart="2" format="49">
      <pivotArea type="data" outline="0" fieldPosition="0">
        <references count="2">
          <reference field="4294967294" count="1" selected="0">
            <x v="3"/>
          </reference>
          <reference field="14" count="1" selected="0">
            <x v="2"/>
          </reference>
        </references>
      </pivotArea>
    </chartFormat>
    <chartFormat chart="2" format="50">
      <pivotArea type="data" outline="0" fieldPosition="0">
        <references count="2">
          <reference field="4294967294" count="1" selected="0">
            <x v="3"/>
          </reference>
          <reference field="14" count="1" selected="0">
            <x v="3"/>
          </reference>
        </references>
      </pivotArea>
    </chartFormat>
    <chartFormat chart="2" format="51">
      <pivotArea type="data" outline="0" fieldPosition="0">
        <references count="2">
          <reference field="4294967294" count="1" selected="0">
            <x v="3"/>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538CCCEA-DCEA-435E-BC85-2501DFEB5C2B}" sourceName="Agent_Name">
  <pivotTables>
    <pivotTable tabId="3" name="PivotTable1"/>
    <pivotTable tabId="4" name="PivotTable2"/>
    <pivotTable tabId="7" name="PivotTable4"/>
  </pivotTables>
  <data>
    <tabular pivotCacheId="1547824712">
      <items count="5">
        <i x="2" s="1"/>
        <i x="4" s="1"/>
        <i x="3"/>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s_Abandoned" xr10:uid="{858BE4A1-172E-40E5-B449-7CD817C8794E}" sourceName="Calls_Abandoned">
  <pivotTables>
    <pivotTable tabId="4" name="PivotTable2"/>
    <pivotTable tabId="3" name="PivotTable1"/>
    <pivotTable tabId="7" name="PivotTable4"/>
  </pivotTables>
  <data>
    <tabular pivotCacheId="154782471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 xr10:uid="{CE66525A-6AD5-4CE2-90A5-082BAFBF92BB}" sourceName="Customer_Satisfaction">
  <pivotTables>
    <pivotTable tabId="3" name="PivotTable1"/>
    <pivotTable tabId="4" name="PivotTable2"/>
    <pivotTable tabId="7" name="PivotTable4"/>
  </pivotTables>
  <data>
    <tabular pivotCacheId="1547824712">
      <items count="7">
        <i x="2" s="1"/>
        <i x="4" s="1"/>
        <i x="0" s="1"/>
        <i x="5" s="1"/>
        <i x="1" s="1"/>
        <i x="3"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HT_Sec" xr10:uid="{5E09F5AD-FC55-4F19-B21B-3DF9EAF31288}" sourceName="AHT_Sec">
  <pivotTables>
    <pivotTable tabId="3" name="PivotTable1"/>
    <pivotTable tabId="4" name="PivotTable2"/>
    <pivotTable tabId="7" name="PivotTable4"/>
  </pivotTables>
  <data>
    <tabular pivotCacheId="1547824712">
      <items count="10">
        <i x="2" s="1"/>
        <i x="6" s="1"/>
        <i x="9" s="1"/>
        <i x="4" s="1"/>
        <i x="8" s="1"/>
        <i x="0" s="1"/>
        <i x="5" s="1"/>
        <i x="1" s="1"/>
        <i x="7"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A_Score" xr10:uid="{84EF4BA6-9FFD-4018-A754-7DEB4EDE6DDC}" sourceName="QA_Score">
  <pivotTables>
    <pivotTable tabId="3" name="PivotTable1"/>
    <pivotTable tabId="4" name="PivotTable2"/>
    <pivotTable tabId="7" name="PivotTable4"/>
  </pivotTables>
  <data>
    <tabular pivotCacheId="1547824712">
      <items count="9">
        <i x="2" s="1"/>
        <i x="7" s="1"/>
        <i x="4" s="1"/>
        <i x="0" s="1"/>
        <i x="5" s="1"/>
        <i x="1" s="1"/>
        <i x="6" s="1"/>
        <i x="3"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_Name" xr10:uid="{B01F194A-3C15-4640-B69A-860167E87221}" cache="Slicer_Agent_Name" caption="Agent_Name" columnCount="3" rowHeight="234950"/>
  <slicer name="Calls_Abandoned" xr10:uid="{E6032270-C9B4-4F72-A16E-0BFCA4FFFFF8}" cache="Slicer_Calls_Abandoned" caption="Calls_Abandoned" columnCount="3" rowHeight="234950"/>
  <slicer name="Customer_Satisfaction" xr10:uid="{5310981E-5F2F-456A-9946-ECC527710D42}" cache="Slicer_Customer_Satisfaction" caption="Customer_Satisfaction" columnCount="4" rowHeight="234950"/>
  <slicer name="AHT_Sec" xr10:uid="{C6A47155-D052-43E6-9BF1-79F1B019BE81}" cache="Slicer_AHT_Sec" caption="AHT_Sec" columnCount="4" rowHeight="234950"/>
  <slicer name="QA_Score" xr10:uid="{BC13992F-E472-4F36-AB9A-849C0DAE87D8}" cache="Slicer_QA_Score" caption="QA_Scor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47B7AC-DB33-4C52-BE46-B64B243425A1}" name="Bpo_Data" displayName="Bpo_Data" ref="A1:BC16" totalsRowShown="0" headerRowDxfId="1727" dataDxfId="1725" headerRowBorderDxfId="1726" tableBorderDxfId="1724" totalsRowBorderDxfId="1723">
  <autoFilter ref="A1:BC16" xr:uid="{F347B7AC-DB33-4C52-BE46-B64B243425A1}"/>
  <tableColumns count="55">
    <tableColumn id="1" xr3:uid="{FED2185E-FB14-47F4-8600-0FE8E1AAE90A}" name="Date" dataDxfId="1722"/>
    <tableColumn id="2" xr3:uid="{92232AC4-287E-43D3-9A32-58EF31AE5E87}" name="Day" dataDxfId="1721"/>
    <tableColumn id="3" xr3:uid="{F5A34492-D4D6-4F80-A8BC-6F48040F567D}" name="Week" dataDxfId="1720"/>
    <tableColumn id="4" xr3:uid="{61695DC0-3DD4-4212-A792-0D49F425FBA2}" name="Month" dataDxfId="1719"/>
    <tableColumn id="5" xr3:uid="{F9A944DB-960F-4AAB-B145-BDFCE9DD10F2}" name="Year" dataDxfId="1718"/>
    <tableColumn id="6" xr3:uid="{274E3DA3-5C39-4689-8E0C-D0BA2C252B7F}" name="Campaign" dataDxfId="1717"/>
    <tableColumn id="7" xr3:uid="{C8657CD0-E881-4F67-903E-B7FA24D44B8C}" name="Process" dataDxfId="1716"/>
    <tableColumn id="8" xr3:uid="{A469EADB-D5F9-4271-8188-F2BAA4C1213A}" name="Queue" dataDxfId="1715"/>
    <tableColumn id="9" xr3:uid="{EE28791C-4073-440B-B170-2E0BE1100D01}" name="Interaction_ID" dataDxfId="1714"/>
    <tableColumn id="10" xr3:uid="{559C5F50-C1A5-4EA8-AE73-F92D729853A3}" name="Call_Type" dataDxfId="1713"/>
    <tableColumn id="11" xr3:uid="{ED6C645B-7B14-42BD-9C3F-A6CD8AB000C0}" name="Customer_ID" dataDxfId="1712"/>
    <tableColumn id="12" xr3:uid="{066680B1-B9D7-4A01-B69C-23569B41EC8E}" name="Customer_Country" dataDxfId="1711"/>
    <tableColumn id="13" xr3:uid="{9882A0AF-8B42-44FC-94B7-3FB6F22FF9FC}" name="Customer_Segment" dataDxfId="1710"/>
    <tableColumn id="14" xr3:uid="{000D1221-D777-4CEA-84F1-B3B60B71246D}" name="Agent_ID" dataDxfId="1709"/>
    <tableColumn id="15" xr3:uid="{8AD6791A-D765-469B-AC87-534F0377F5C0}" name="Agent_Name" dataDxfId="1708"/>
    <tableColumn id="16" xr3:uid="{FA759F8E-42B1-47BC-A7C5-147D32B65D99}" name="Agent_Team" dataDxfId="1707"/>
    <tableColumn id="17" xr3:uid="{2DD71528-C82B-4EBA-991A-36BCB4FF9F18}" name="Team_Leader" dataDxfId="1706"/>
    <tableColumn id="18" xr3:uid="{2FD77E59-DD5B-4A3C-B6B3-4923352122B9}" name="Manager" dataDxfId="1705"/>
    <tableColumn id="19" xr3:uid="{2A6C4BC8-ED12-42BB-8EBA-B15CFAEDF8C6}" name="Agent_Location" dataDxfId="1704"/>
    <tableColumn id="20" xr3:uid="{5857AA9F-4D40-4F89-9D97-89D39D294E1D}" name="Shift" dataDxfId="1703"/>
    <tableColumn id="21" xr3:uid="{C1CDA2E8-68C7-4038-B2D4-18DD14B2EC1D}" name="Shift_Start" dataDxfId="1702"/>
    <tableColumn id="22" xr3:uid="{2BC8F772-E6AF-4E21-8D04-5BCE5B1BBE81}" name="Shift_End" dataDxfId="1701"/>
    <tableColumn id="23" xr3:uid="{9387D47B-CB01-4B38-9AC7-A1E4DE59324A}" name="Login_Time" dataDxfId="1700"/>
    <tableColumn id="24" xr3:uid="{356647CF-FACF-4747-97E7-658BA2B8B6D2}" name="Logout_Time" dataDxfId="1699"/>
    <tableColumn id="25" xr3:uid="{61063B3F-C1E7-4690-B5F9-0622C98627BC}" name="Scheduled_Hours" dataDxfId="1698"/>
    <tableColumn id="26" xr3:uid="{7C97E499-E008-46D8-8B33-86D4CEE75F34}" name="Actual_Work_Hours" dataDxfId="1697"/>
    <tableColumn id="27" xr3:uid="{2842B7FE-28EA-49B1-A661-F6F491AB3473}" name="Break_Time_Min" dataDxfId="1696"/>
    <tableColumn id="28" xr3:uid="{423FF089-AB7A-4C59-8DBB-3AAEB5FA3D0F}" name="Lunch_Time_Min" dataDxfId="1695"/>
    <tableColumn id="29" xr3:uid="{E549E4D4-1379-4AF8-99F8-3E326834C01D}" name="Aux_Time_Min" dataDxfId="1694"/>
    <tableColumn id="30" xr3:uid="{CC078600-2931-44B0-8FFF-7952844E425E}" name="Calls_Handled" dataDxfId="1693"/>
    <tableColumn id="31" xr3:uid="{37A7748E-148B-4F50-AADF-106EA5D474D5}" name="Calls_Offered" dataDxfId="1692"/>
    <tableColumn id="32" xr3:uid="{67E2961C-21D7-4B80-9689-BB9F67144E12}" name="Calls_Abandoned" dataDxfId="1691"/>
    <tableColumn id="33" xr3:uid="{49C7F782-1953-4F59-A58E-50F51BF817B0}" name="Talk_Time_Min" dataDxfId="1690"/>
    <tableColumn id="34" xr3:uid="{CCF4E9C7-B7DB-40FD-BE84-AD7483183957}" name="Hold_Time_Min" dataDxfId="1689"/>
    <tableColumn id="35" xr3:uid="{A38AA0A2-6C6E-4C1E-BEE0-72BD3564AE02}" name="After_Call_Work_Min" dataDxfId="1688"/>
    <tableColumn id="36" xr3:uid="{5E5C6EA3-E27F-4A10-8834-06B51FE32B93}" name="Handle_Time_Sec" dataDxfId="1687"/>
    <tableColumn id="37" xr3:uid="{D6165837-22C0-41D4-98A9-6534A19BDE94}" name="AHT_Sec" dataDxfId="1686"/>
    <tableColumn id="38" xr3:uid="{EF8A2E6F-D04E-41D8-9184-56D21BA34E5E}" name="First_Call_Resolution" dataDxfId="1685"/>
    <tableColumn id="39" xr3:uid="{D718B84F-50CB-4584-862D-36BD0F31BBA0}" name="Transfer_Flag" dataDxfId="1684"/>
    <tableColumn id="40" xr3:uid="{9C1C1E41-2B5F-48DE-B332-91E896FA0D95}" name="Escalation_Flag" dataDxfId="1683"/>
    <tableColumn id="41" xr3:uid="{F42B866A-80F1-4276-82B5-32BCDEF27B6D}" name="Customer_Satisfaction" dataDxfId="1682"/>
    <tableColumn id="42" xr3:uid="{9C1297E5-BC3D-424F-9EE0-11C204912C9B}" name="NPS" dataDxfId="1681"/>
    <tableColumn id="43" xr3:uid="{7D0D0A34-E544-4BB8-B02F-D32280B78AE3}" name="QA_Score" dataDxfId="1680"/>
    <tableColumn id="44" xr3:uid="{2423B955-323C-4E9C-8678-DA9F35D631F1}" name="Greeting_Score" dataDxfId="1679"/>
    <tableColumn id="45" xr3:uid="{3ACC7A32-2C98-4F1E-8844-EF16F0AF27FA}" name="Resolution_Score" dataDxfId="1678"/>
    <tableColumn id="46" xr3:uid="{F8836ECA-7CE1-43CC-BF9C-A06D283E5AAA}" name="Soft_Skills_Score" dataDxfId="1677"/>
    <tableColumn id="47" xr3:uid="{116A1D9D-5308-4A16-8B3C-B33244B8D481}" name="Compliance_Score" dataDxfId="1676"/>
    <tableColumn id="48" xr3:uid="{BFB05E9A-4B9D-4433-8135-D4DD76C82F8A}" name="Adherence_Percentage" dataDxfId="1675"/>
    <tableColumn id="49" xr3:uid="{32DE6DC3-3BCF-43D0-8110-96696B2DDF92}" name="Occupancy_Percentage" dataDxfId="1674"/>
    <tableColumn id="50" xr3:uid="{00DC3CDD-C522-488C-947B-7E66ADE0940F}" name="Shrinkage_Percentage" dataDxfId="1673"/>
    <tableColumn id="51" xr3:uid="{63A94B78-9B56-49BF-86FB-59A9B69A5FAA}" name="Forecast_Calls" dataDxfId="1672"/>
    <tableColumn id="52" xr3:uid="{D0B73866-A263-474A-86CD-90893937B746}" name="Required_Agents" dataDxfId="1671"/>
    <tableColumn id="53" xr3:uid="{577586A1-6519-4D31-968F-11901A68185A}" name="Available_Agents" dataDxfId="1670"/>
    <tableColumn id="54" xr3:uid="{F61E809C-4FAC-475F-AAA5-A2F5FCA71135}" name="Overtime_Hours" dataDxfId="1669"/>
    <tableColumn id="55" xr3:uid="{3A675E63-ECAE-48C8-8F31-110E02811E85}" name="Attrition_Flag" dataDxfId="166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C69C0-CC01-4855-BB26-3BFEEBB50B91}">
  <dimension ref="A1:BC16"/>
  <sheetViews>
    <sheetView topLeftCell="H1" workbookViewId="0">
      <selection activeCell="Q18" sqref="Q18"/>
    </sheetView>
  </sheetViews>
  <sheetFormatPr defaultRowHeight="14.4" x14ac:dyDescent="0.3"/>
  <cols>
    <col min="1" max="1" width="10.33203125" bestFit="1" customWidth="1"/>
    <col min="2" max="2" width="6.109375" customWidth="1"/>
    <col min="3" max="3" width="7.6640625" customWidth="1"/>
    <col min="4" max="4" width="8.6640625" customWidth="1"/>
    <col min="5" max="5" width="6.5546875" customWidth="1"/>
    <col min="6" max="6" width="11.33203125" customWidth="1"/>
    <col min="7" max="7" width="9.21875" customWidth="1"/>
    <col min="8" max="8" width="8.44140625" customWidth="1"/>
    <col min="9" max="9" width="14.88671875" customWidth="1"/>
    <col min="10" max="10" width="11" customWidth="1"/>
    <col min="11" max="11" width="13.77734375" customWidth="1"/>
    <col min="12" max="12" width="18.77734375" customWidth="1"/>
    <col min="13" max="13" width="19.44140625" customWidth="1"/>
    <col min="14" max="14" width="10.6640625" customWidth="1"/>
    <col min="15" max="15" width="13.88671875" customWidth="1"/>
    <col min="16" max="16" width="13.5546875" customWidth="1"/>
    <col min="17" max="17" width="14.21875" customWidth="1"/>
    <col min="18" max="18" width="10.44140625" customWidth="1"/>
    <col min="19" max="19" width="16.109375" customWidth="1"/>
    <col min="20" max="20" width="7.77734375" bestFit="1" customWidth="1"/>
    <col min="21" max="21" width="11.77734375" customWidth="1"/>
    <col min="22" max="22" width="11" customWidth="1"/>
    <col min="23" max="23" width="12.5546875" customWidth="1"/>
    <col min="24" max="24" width="13.88671875" customWidth="1"/>
    <col min="25" max="25" width="17.5546875" customWidth="1"/>
    <col min="26" max="26" width="19.6640625" customWidth="1"/>
    <col min="27" max="27" width="17.109375" customWidth="1"/>
    <col min="28" max="28" width="17.44140625" customWidth="1"/>
    <col min="29" max="29" width="15.5546875" customWidth="1"/>
    <col min="30" max="30" width="14.6640625" customWidth="1"/>
    <col min="31" max="31" width="14.109375" customWidth="1"/>
    <col min="32" max="32" width="17.5546875" customWidth="1"/>
    <col min="33" max="33" width="15.77734375" customWidth="1"/>
    <col min="34" max="34" width="16.21875" customWidth="1"/>
    <col min="35" max="35" width="21" customWidth="1"/>
    <col min="36" max="36" width="17.77734375" customWidth="1"/>
    <col min="37" max="37" width="10.21875" customWidth="1"/>
    <col min="38" max="38" width="20.21875" customWidth="1"/>
    <col min="39" max="39" width="14.109375" customWidth="1"/>
    <col min="40" max="40" width="15.6640625" customWidth="1"/>
    <col min="41" max="41" width="21.77734375" customWidth="1"/>
    <col min="42" max="42" width="6.33203125" customWidth="1"/>
    <col min="43" max="43" width="11.109375" customWidth="1"/>
    <col min="44" max="44" width="15.6640625" customWidth="1"/>
    <col min="45" max="45" width="17.44140625" customWidth="1"/>
    <col min="46" max="46" width="17.109375" customWidth="1"/>
    <col min="47" max="47" width="18.44140625" customWidth="1"/>
    <col min="48" max="48" width="22.44140625" customWidth="1"/>
    <col min="49" max="49" width="22.6640625" customWidth="1"/>
    <col min="50" max="50" width="21.6640625" customWidth="1"/>
    <col min="51" max="51" width="14.6640625" customWidth="1"/>
    <col min="52" max="52" width="17.21875" customWidth="1"/>
    <col min="53" max="53" width="17.33203125" customWidth="1"/>
    <col min="54" max="54" width="16.5546875" customWidth="1"/>
    <col min="55" max="55" width="14.21875" customWidth="1"/>
  </cols>
  <sheetData>
    <row r="1" spans="1:55"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7" t="s">
        <v>54</v>
      </c>
    </row>
    <row r="2" spans="1:55" x14ac:dyDescent="0.3">
      <c r="A2" s="3">
        <v>46113</v>
      </c>
      <c r="B2" s="1" t="s">
        <v>55</v>
      </c>
      <c r="C2" s="1">
        <v>14</v>
      </c>
      <c r="D2" s="1" t="s">
        <v>56</v>
      </c>
      <c r="E2" s="1">
        <v>2026</v>
      </c>
      <c r="F2" s="1" t="s">
        <v>57</v>
      </c>
      <c r="G2" s="1" t="s">
        <v>58</v>
      </c>
      <c r="H2" s="1" t="s">
        <v>59</v>
      </c>
      <c r="I2" s="1" t="s">
        <v>60</v>
      </c>
      <c r="J2" s="1" t="s">
        <v>61</v>
      </c>
      <c r="K2" s="1" t="s">
        <v>62</v>
      </c>
      <c r="L2" s="1" t="s">
        <v>63</v>
      </c>
      <c r="M2" s="1" t="s">
        <v>64</v>
      </c>
      <c r="N2" s="1" t="s">
        <v>65</v>
      </c>
      <c r="O2" s="1" t="s">
        <v>66</v>
      </c>
      <c r="P2" s="1" t="s">
        <v>67</v>
      </c>
      <c r="Q2" s="1" t="s">
        <v>68</v>
      </c>
      <c r="R2" s="1" t="s">
        <v>69</v>
      </c>
      <c r="S2" s="1" t="s">
        <v>70</v>
      </c>
      <c r="T2" s="1" t="s">
        <v>71</v>
      </c>
      <c r="U2" s="2">
        <v>0.375</v>
      </c>
      <c r="V2" s="2">
        <v>0.75</v>
      </c>
      <c r="W2" s="2">
        <v>0.37708333333333333</v>
      </c>
      <c r="X2" s="2">
        <v>0.75138888888888888</v>
      </c>
      <c r="Y2" s="1">
        <v>9</v>
      </c>
      <c r="Z2" s="1">
        <v>8.8000000000000007</v>
      </c>
      <c r="AA2" s="1">
        <v>15</v>
      </c>
      <c r="AB2" s="1">
        <v>30</v>
      </c>
      <c r="AC2" s="1">
        <v>10</v>
      </c>
      <c r="AD2" s="1">
        <v>95</v>
      </c>
      <c r="AE2" s="1">
        <v>110</v>
      </c>
      <c r="AF2" s="1">
        <v>5</v>
      </c>
      <c r="AG2" s="1">
        <v>420</v>
      </c>
      <c r="AH2" s="1">
        <v>30</v>
      </c>
      <c r="AI2" s="1">
        <v>50</v>
      </c>
      <c r="AJ2" s="1">
        <v>300</v>
      </c>
      <c r="AK2" s="1">
        <v>300</v>
      </c>
      <c r="AL2" s="1" t="s">
        <v>72</v>
      </c>
      <c r="AM2" s="1" t="s">
        <v>73</v>
      </c>
      <c r="AN2" s="1" t="s">
        <v>73</v>
      </c>
      <c r="AO2" s="1">
        <v>92</v>
      </c>
      <c r="AP2" s="1">
        <v>60</v>
      </c>
      <c r="AQ2" s="1">
        <v>88</v>
      </c>
      <c r="AR2" s="1">
        <v>9</v>
      </c>
      <c r="AS2" s="1">
        <v>9</v>
      </c>
      <c r="AT2" s="1">
        <v>8</v>
      </c>
      <c r="AU2" s="1">
        <v>9</v>
      </c>
      <c r="AV2" s="1">
        <v>96</v>
      </c>
      <c r="AW2" s="1">
        <v>85</v>
      </c>
      <c r="AX2" s="1">
        <v>20</v>
      </c>
      <c r="AY2" s="1">
        <v>1000</v>
      </c>
      <c r="AZ2" s="1">
        <v>28</v>
      </c>
      <c r="BA2" s="1">
        <v>26</v>
      </c>
      <c r="BB2" s="1">
        <v>1</v>
      </c>
      <c r="BC2" s="4">
        <v>0</v>
      </c>
    </row>
    <row r="3" spans="1:55" x14ac:dyDescent="0.3">
      <c r="A3" s="3">
        <v>46113</v>
      </c>
      <c r="B3" s="1" t="s">
        <v>55</v>
      </c>
      <c r="C3" s="1">
        <v>14</v>
      </c>
      <c r="D3" s="1" t="s">
        <v>56</v>
      </c>
      <c r="E3" s="1">
        <v>2026</v>
      </c>
      <c r="F3" s="1" t="s">
        <v>57</v>
      </c>
      <c r="G3" s="1" t="s">
        <v>58</v>
      </c>
      <c r="H3" s="1" t="s">
        <v>74</v>
      </c>
      <c r="I3" s="1" t="s">
        <v>75</v>
      </c>
      <c r="J3" s="1" t="s">
        <v>61</v>
      </c>
      <c r="K3" s="1" t="s">
        <v>76</v>
      </c>
      <c r="L3" s="1" t="s">
        <v>77</v>
      </c>
      <c r="M3" s="1" t="s">
        <v>78</v>
      </c>
      <c r="N3" s="1" t="s">
        <v>79</v>
      </c>
      <c r="O3" s="1" t="s">
        <v>80</v>
      </c>
      <c r="P3" s="1" t="s">
        <v>67</v>
      </c>
      <c r="Q3" s="1" t="s">
        <v>68</v>
      </c>
      <c r="R3" s="1" t="s">
        <v>69</v>
      </c>
      <c r="S3" s="1" t="s">
        <v>70</v>
      </c>
      <c r="T3" s="1" t="s">
        <v>71</v>
      </c>
      <c r="U3" s="2">
        <v>0.375</v>
      </c>
      <c r="V3" s="2">
        <v>0.75</v>
      </c>
      <c r="W3" s="2">
        <v>0.37569444444444444</v>
      </c>
      <c r="X3" s="2">
        <v>0.75</v>
      </c>
      <c r="Y3" s="1">
        <v>9</v>
      </c>
      <c r="Z3" s="1">
        <v>8.9</v>
      </c>
      <c r="AA3" s="1">
        <v>15</v>
      </c>
      <c r="AB3" s="1">
        <v>30</v>
      </c>
      <c r="AC3" s="1">
        <v>8</v>
      </c>
      <c r="AD3" s="1">
        <v>110</v>
      </c>
      <c r="AE3" s="1">
        <v>125</v>
      </c>
      <c r="AF3" s="1">
        <v>6</v>
      </c>
      <c r="AG3" s="1">
        <v>460</v>
      </c>
      <c r="AH3" s="1">
        <v>35</v>
      </c>
      <c r="AI3" s="1">
        <v>45</v>
      </c>
      <c r="AJ3" s="1">
        <v>305</v>
      </c>
      <c r="AK3" s="1">
        <v>305</v>
      </c>
      <c r="AL3" s="1" t="s">
        <v>72</v>
      </c>
      <c r="AM3" s="1" t="s">
        <v>73</v>
      </c>
      <c r="AN3" s="1" t="s">
        <v>73</v>
      </c>
      <c r="AO3" s="1">
        <v>94</v>
      </c>
      <c r="AP3" s="1">
        <v>65</v>
      </c>
      <c r="AQ3" s="1">
        <v>90</v>
      </c>
      <c r="AR3" s="1">
        <v>9</v>
      </c>
      <c r="AS3" s="1">
        <v>9</v>
      </c>
      <c r="AT3" s="1">
        <v>9</v>
      </c>
      <c r="AU3" s="1">
        <v>9</v>
      </c>
      <c r="AV3" s="1">
        <v>97</v>
      </c>
      <c r="AW3" s="1">
        <v>87</v>
      </c>
      <c r="AX3" s="1">
        <v>18</v>
      </c>
      <c r="AY3" s="1">
        <v>1000</v>
      </c>
      <c r="AZ3" s="1">
        <v>28</v>
      </c>
      <c r="BA3" s="1">
        <v>26</v>
      </c>
      <c r="BB3" s="1">
        <v>0</v>
      </c>
      <c r="BC3" s="4">
        <v>0</v>
      </c>
    </row>
    <row r="4" spans="1:55" x14ac:dyDescent="0.3">
      <c r="A4" s="3">
        <v>46113</v>
      </c>
      <c r="B4" s="1" t="s">
        <v>55</v>
      </c>
      <c r="C4" s="1">
        <v>14</v>
      </c>
      <c r="D4" s="1" t="s">
        <v>56</v>
      </c>
      <c r="E4" s="1">
        <v>2026</v>
      </c>
      <c r="F4" s="1" t="s">
        <v>57</v>
      </c>
      <c r="G4" s="1" t="s">
        <v>58</v>
      </c>
      <c r="H4" s="1" t="s">
        <v>59</v>
      </c>
      <c r="I4" s="1" t="s">
        <v>81</v>
      </c>
      <c r="J4" s="1" t="s">
        <v>61</v>
      </c>
      <c r="K4" s="1" t="s">
        <v>82</v>
      </c>
      <c r="L4" s="1" t="s">
        <v>83</v>
      </c>
      <c r="M4" s="1" t="s">
        <v>64</v>
      </c>
      <c r="N4" s="1" t="s">
        <v>84</v>
      </c>
      <c r="O4" s="1" t="s">
        <v>85</v>
      </c>
      <c r="P4" s="1" t="s">
        <v>86</v>
      </c>
      <c r="Q4" s="1" t="s">
        <v>87</v>
      </c>
      <c r="R4" s="1" t="s">
        <v>69</v>
      </c>
      <c r="S4" s="1" t="s">
        <v>70</v>
      </c>
      <c r="T4" s="1" t="s">
        <v>71</v>
      </c>
      <c r="U4" s="2">
        <v>0.375</v>
      </c>
      <c r="V4" s="2">
        <v>0.75</v>
      </c>
      <c r="W4" s="2">
        <v>0.37916666666666665</v>
      </c>
      <c r="X4" s="2">
        <v>0.74861111111111112</v>
      </c>
      <c r="Y4" s="1">
        <v>9</v>
      </c>
      <c r="Z4" s="1">
        <v>8.5</v>
      </c>
      <c r="AA4" s="1">
        <v>20</v>
      </c>
      <c r="AB4" s="1">
        <v>30</v>
      </c>
      <c r="AC4" s="1">
        <v>12</v>
      </c>
      <c r="AD4" s="1">
        <v>88</v>
      </c>
      <c r="AE4" s="1">
        <v>102</v>
      </c>
      <c r="AF4" s="1">
        <v>4</v>
      </c>
      <c r="AG4" s="1">
        <v>395</v>
      </c>
      <c r="AH4" s="1">
        <v>28</v>
      </c>
      <c r="AI4" s="1">
        <v>40</v>
      </c>
      <c r="AJ4" s="1">
        <v>295</v>
      </c>
      <c r="AK4" s="1">
        <v>295</v>
      </c>
      <c r="AL4" s="1" t="s">
        <v>72</v>
      </c>
      <c r="AM4" s="1" t="s">
        <v>73</v>
      </c>
      <c r="AN4" s="1" t="s">
        <v>73</v>
      </c>
      <c r="AO4" s="1">
        <v>90</v>
      </c>
      <c r="AP4" s="1">
        <v>55</v>
      </c>
      <c r="AQ4" s="1">
        <v>85</v>
      </c>
      <c r="AR4" s="1">
        <v>8</v>
      </c>
      <c r="AS4" s="1">
        <v>8</v>
      </c>
      <c r="AT4" s="1">
        <v>8</v>
      </c>
      <c r="AU4" s="1">
        <v>9</v>
      </c>
      <c r="AV4" s="1">
        <v>93</v>
      </c>
      <c r="AW4" s="1">
        <v>82</v>
      </c>
      <c r="AX4" s="1">
        <v>21</v>
      </c>
      <c r="AY4" s="1">
        <v>1000</v>
      </c>
      <c r="AZ4" s="1">
        <v>28</v>
      </c>
      <c r="BA4" s="1">
        <v>26</v>
      </c>
      <c r="BB4" s="1">
        <v>0</v>
      </c>
      <c r="BC4" s="4">
        <v>0</v>
      </c>
    </row>
    <row r="5" spans="1:55" x14ac:dyDescent="0.3">
      <c r="A5" s="3">
        <v>46113</v>
      </c>
      <c r="B5" s="1" t="s">
        <v>55</v>
      </c>
      <c r="C5" s="1">
        <v>14</v>
      </c>
      <c r="D5" s="1" t="s">
        <v>56</v>
      </c>
      <c r="E5" s="1">
        <v>2026</v>
      </c>
      <c r="F5" s="1" t="s">
        <v>57</v>
      </c>
      <c r="G5" s="1" t="s">
        <v>58</v>
      </c>
      <c r="H5" s="1" t="s">
        <v>88</v>
      </c>
      <c r="I5" s="1" t="s">
        <v>89</v>
      </c>
      <c r="J5" s="1" t="s">
        <v>61</v>
      </c>
      <c r="K5" s="1" t="s">
        <v>90</v>
      </c>
      <c r="L5" s="1" t="s">
        <v>63</v>
      </c>
      <c r="M5" s="1" t="s">
        <v>78</v>
      </c>
      <c r="N5" s="1" t="s">
        <v>91</v>
      </c>
      <c r="O5" s="1" t="s">
        <v>92</v>
      </c>
      <c r="P5" s="1" t="s">
        <v>86</v>
      </c>
      <c r="Q5" s="1" t="s">
        <v>87</v>
      </c>
      <c r="R5" s="1" t="s">
        <v>69</v>
      </c>
      <c r="S5" s="1" t="s">
        <v>70</v>
      </c>
      <c r="T5" s="1" t="s">
        <v>71</v>
      </c>
      <c r="U5" s="2">
        <v>0.375</v>
      </c>
      <c r="V5" s="2">
        <v>0.75</v>
      </c>
      <c r="W5" s="2">
        <v>0.37638888888888888</v>
      </c>
      <c r="X5" s="2">
        <v>0.75347222222222221</v>
      </c>
      <c r="Y5" s="1">
        <v>9</v>
      </c>
      <c r="Z5" s="1">
        <v>8.9</v>
      </c>
      <c r="AA5" s="1">
        <v>15</v>
      </c>
      <c r="AB5" s="1">
        <v>30</v>
      </c>
      <c r="AC5" s="1">
        <v>9</v>
      </c>
      <c r="AD5" s="1">
        <v>102</v>
      </c>
      <c r="AE5" s="1">
        <v>118</v>
      </c>
      <c r="AF5" s="1">
        <v>5</v>
      </c>
      <c r="AG5" s="1">
        <v>440</v>
      </c>
      <c r="AH5" s="1">
        <v>32</v>
      </c>
      <c r="AI5" s="1">
        <v>48</v>
      </c>
      <c r="AJ5" s="1">
        <v>302</v>
      </c>
      <c r="AK5" s="1">
        <v>302</v>
      </c>
      <c r="AL5" s="1" t="s">
        <v>72</v>
      </c>
      <c r="AM5" s="1" t="s">
        <v>73</v>
      </c>
      <c r="AN5" s="1" t="s">
        <v>73</v>
      </c>
      <c r="AO5" s="1">
        <v>95</v>
      </c>
      <c r="AP5" s="1">
        <v>70</v>
      </c>
      <c r="AQ5" s="1">
        <v>91</v>
      </c>
      <c r="AR5" s="1">
        <v>9</v>
      </c>
      <c r="AS5" s="1">
        <v>10</v>
      </c>
      <c r="AT5" s="1">
        <v>9</v>
      </c>
      <c r="AU5" s="1">
        <v>9</v>
      </c>
      <c r="AV5" s="1">
        <v>98</v>
      </c>
      <c r="AW5" s="1">
        <v>88</v>
      </c>
      <c r="AX5" s="1">
        <v>17</v>
      </c>
      <c r="AY5" s="1">
        <v>1000</v>
      </c>
      <c r="AZ5" s="1">
        <v>28</v>
      </c>
      <c r="BA5" s="1">
        <v>26</v>
      </c>
      <c r="BB5" s="1">
        <v>1</v>
      </c>
      <c r="BC5" s="4">
        <v>0</v>
      </c>
    </row>
    <row r="6" spans="1:55" x14ac:dyDescent="0.3">
      <c r="A6" s="3">
        <v>46113</v>
      </c>
      <c r="B6" s="1" t="s">
        <v>55</v>
      </c>
      <c r="C6" s="1">
        <v>14</v>
      </c>
      <c r="D6" s="1" t="s">
        <v>56</v>
      </c>
      <c r="E6" s="1">
        <v>2026</v>
      </c>
      <c r="F6" s="1" t="s">
        <v>57</v>
      </c>
      <c r="G6" s="1" t="s">
        <v>58</v>
      </c>
      <c r="H6" s="1" t="s">
        <v>59</v>
      </c>
      <c r="I6" s="1" t="s">
        <v>93</v>
      </c>
      <c r="J6" s="1" t="s">
        <v>61</v>
      </c>
      <c r="K6" s="1" t="s">
        <v>94</v>
      </c>
      <c r="L6" s="1" t="s">
        <v>63</v>
      </c>
      <c r="M6" s="1" t="s">
        <v>64</v>
      </c>
      <c r="N6" s="1" t="s">
        <v>95</v>
      </c>
      <c r="O6" s="1" t="s">
        <v>96</v>
      </c>
      <c r="P6" s="1" t="s">
        <v>97</v>
      </c>
      <c r="Q6" s="1" t="s">
        <v>98</v>
      </c>
      <c r="R6" s="1" t="s">
        <v>69</v>
      </c>
      <c r="S6" s="1" t="s">
        <v>70</v>
      </c>
      <c r="T6" s="1" t="s">
        <v>71</v>
      </c>
      <c r="U6" s="2">
        <v>0.375</v>
      </c>
      <c r="V6" s="2">
        <v>0.75</v>
      </c>
      <c r="W6" s="2">
        <v>0.37777777777777777</v>
      </c>
      <c r="X6" s="2">
        <v>0.75069444444444444</v>
      </c>
      <c r="Y6" s="1">
        <v>9</v>
      </c>
      <c r="Z6" s="1">
        <v>8.6999999999999993</v>
      </c>
      <c r="AA6" s="1">
        <v>18</v>
      </c>
      <c r="AB6" s="1">
        <v>30</v>
      </c>
      <c r="AC6" s="1">
        <v>11</v>
      </c>
      <c r="AD6" s="1">
        <v>97</v>
      </c>
      <c r="AE6" s="1">
        <v>112</v>
      </c>
      <c r="AF6" s="1">
        <v>6</v>
      </c>
      <c r="AG6" s="1">
        <v>430</v>
      </c>
      <c r="AH6" s="1">
        <v>29</v>
      </c>
      <c r="AI6" s="1">
        <v>44</v>
      </c>
      <c r="AJ6" s="1">
        <v>298</v>
      </c>
      <c r="AK6" s="1">
        <v>298</v>
      </c>
      <c r="AL6" s="1" t="s">
        <v>72</v>
      </c>
      <c r="AM6" s="1" t="s">
        <v>73</v>
      </c>
      <c r="AN6" s="1" t="s">
        <v>73</v>
      </c>
      <c r="AO6" s="1">
        <v>91</v>
      </c>
      <c r="AP6" s="1">
        <v>58</v>
      </c>
      <c r="AQ6" s="1">
        <v>87</v>
      </c>
      <c r="AR6" s="1">
        <v>9</v>
      </c>
      <c r="AS6" s="1">
        <v>9</v>
      </c>
      <c r="AT6" s="1">
        <v>8</v>
      </c>
      <c r="AU6" s="1">
        <v>9</v>
      </c>
      <c r="AV6" s="1">
        <v>95</v>
      </c>
      <c r="AW6" s="1">
        <v>84</v>
      </c>
      <c r="AX6" s="1">
        <v>20</v>
      </c>
      <c r="AY6" s="1">
        <v>1000</v>
      </c>
      <c r="AZ6" s="1">
        <v>28</v>
      </c>
      <c r="BA6" s="1">
        <v>26</v>
      </c>
      <c r="BB6" s="1">
        <v>0</v>
      </c>
      <c r="BC6" s="4">
        <v>0</v>
      </c>
    </row>
    <row r="7" spans="1:55" x14ac:dyDescent="0.3">
      <c r="A7" s="3">
        <v>46114</v>
      </c>
      <c r="B7" s="1" t="s">
        <v>99</v>
      </c>
      <c r="C7" s="1">
        <v>14</v>
      </c>
      <c r="D7" s="1" t="s">
        <v>56</v>
      </c>
      <c r="E7" s="1">
        <v>2026</v>
      </c>
      <c r="F7" s="1" t="s">
        <v>57</v>
      </c>
      <c r="G7" s="1" t="s">
        <v>58</v>
      </c>
      <c r="H7" s="1" t="s">
        <v>59</v>
      </c>
      <c r="I7" s="1" t="s">
        <v>100</v>
      </c>
      <c r="J7" s="1" t="s">
        <v>61</v>
      </c>
      <c r="K7" s="1" t="s">
        <v>101</v>
      </c>
      <c r="L7" s="1" t="s">
        <v>63</v>
      </c>
      <c r="M7" s="1" t="s">
        <v>78</v>
      </c>
      <c r="N7" s="1" t="s">
        <v>65</v>
      </c>
      <c r="O7" s="1" t="s">
        <v>66</v>
      </c>
      <c r="P7" s="1" t="s">
        <v>67</v>
      </c>
      <c r="Q7" s="1" t="s">
        <v>68</v>
      </c>
      <c r="R7" s="1" t="s">
        <v>69</v>
      </c>
      <c r="S7" s="1" t="s">
        <v>70</v>
      </c>
      <c r="T7" s="1" t="s">
        <v>71</v>
      </c>
      <c r="U7" s="2">
        <v>0.375</v>
      </c>
      <c r="V7" s="2">
        <v>0.75</v>
      </c>
      <c r="W7" s="2">
        <v>0.37638888888888888</v>
      </c>
      <c r="X7" s="2">
        <v>0.75</v>
      </c>
      <c r="Y7" s="1">
        <v>9</v>
      </c>
      <c r="Z7" s="1">
        <v>8.9</v>
      </c>
      <c r="AA7" s="1">
        <v>15</v>
      </c>
      <c r="AB7" s="1">
        <v>30</v>
      </c>
      <c r="AC7" s="1">
        <v>9</v>
      </c>
      <c r="AD7" s="1">
        <v>100</v>
      </c>
      <c r="AE7" s="1">
        <v>118</v>
      </c>
      <c r="AF7" s="1">
        <v>4</v>
      </c>
      <c r="AG7" s="1">
        <v>445</v>
      </c>
      <c r="AH7" s="1">
        <v>33</v>
      </c>
      <c r="AI7" s="1">
        <v>42</v>
      </c>
      <c r="AJ7" s="1">
        <v>300</v>
      </c>
      <c r="AK7" s="1">
        <v>300</v>
      </c>
      <c r="AL7" s="1" t="s">
        <v>72</v>
      </c>
      <c r="AM7" s="1" t="s">
        <v>73</v>
      </c>
      <c r="AN7" s="1" t="s">
        <v>73</v>
      </c>
      <c r="AO7" s="1">
        <v>93</v>
      </c>
      <c r="AP7" s="1">
        <v>62</v>
      </c>
      <c r="AQ7" s="1">
        <v>89</v>
      </c>
      <c r="AR7" s="1">
        <v>9</v>
      </c>
      <c r="AS7" s="1">
        <v>9</v>
      </c>
      <c r="AT7" s="1">
        <v>9</v>
      </c>
      <c r="AU7" s="1">
        <v>9</v>
      </c>
      <c r="AV7" s="1">
        <v>96</v>
      </c>
      <c r="AW7" s="1">
        <v>86</v>
      </c>
      <c r="AX7" s="1">
        <v>19</v>
      </c>
      <c r="AY7" s="1">
        <v>1020</v>
      </c>
      <c r="AZ7" s="1">
        <v>29</v>
      </c>
      <c r="BA7" s="1">
        <v>27</v>
      </c>
      <c r="BB7" s="1">
        <v>0</v>
      </c>
      <c r="BC7" s="4">
        <v>0</v>
      </c>
    </row>
    <row r="8" spans="1:55" x14ac:dyDescent="0.3">
      <c r="A8" s="3">
        <v>46114</v>
      </c>
      <c r="B8" s="1" t="s">
        <v>99</v>
      </c>
      <c r="C8" s="1">
        <v>14</v>
      </c>
      <c r="D8" s="1" t="s">
        <v>56</v>
      </c>
      <c r="E8" s="1">
        <v>2026</v>
      </c>
      <c r="F8" s="1" t="s">
        <v>57</v>
      </c>
      <c r="G8" s="1" t="s">
        <v>58</v>
      </c>
      <c r="H8" s="1" t="s">
        <v>74</v>
      </c>
      <c r="I8" s="1" t="s">
        <v>102</v>
      </c>
      <c r="J8" s="1" t="s">
        <v>61</v>
      </c>
      <c r="K8" s="1" t="s">
        <v>103</v>
      </c>
      <c r="L8" s="1" t="s">
        <v>77</v>
      </c>
      <c r="M8" s="1" t="s">
        <v>64</v>
      </c>
      <c r="N8" s="1" t="s">
        <v>79</v>
      </c>
      <c r="O8" s="1" t="s">
        <v>80</v>
      </c>
      <c r="P8" s="1" t="s">
        <v>67</v>
      </c>
      <c r="Q8" s="1" t="s">
        <v>68</v>
      </c>
      <c r="R8" s="1" t="s">
        <v>69</v>
      </c>
      <c r="S8" s="1" t="s">
        <v>70</v>
      </c>
      <c r="T8" s="1" t="s">
        <v>71</v>
      </c>
      <c r="U8" s="2">
        <v>0.375</v>
      </c>
      <c r="V8" s="2">
        <v>0.75</v>
      </c>
      <c r="W8" s="2">
        <v>0.375</v>
      </c>
      <c r="X8" s="2">
        <v>0.75208333333333333</v>
      </c>
      <c r="Y8" s="1">
        <v>9</v>
      </c>
      <c r="Z8" s="1">
        <v>8.8000000000000007</v>
      </c>
      <c r="AA8" s="1">
        <v>15</v>
      </c>
      <c r="AB8" s="1">
        <v>30</v>
      </c>
      <c r="AC8" s="1">
        <v>8</v>
      </c>
      <c r="AD8" s="1">
        <v>112</v>
      </c>
      <c r="AE8" s="1">
        <v>130</v>
      </c>
      <c r="AF8" s="1">
        <v>5</v>
      </c>
      <c r="AG8" s="1">
        <v>470</v>
      </c>
      <c r="AH8" s="1">
        <v>36</v>
      </c>
      <c r="AI8" s="1">
        <v>47</v>
      </c>
      <c r="AJ8" s="1">
        <v>304</v>
      </c>
      <c r="AK8" s="1">
        <v>304</v>
      </c>
      <c r="AL8" s="1" t="s">
        <v>72</v>
      </c>
      <c r="AM8" s="1" t="s">
        <v>73</v>
      </c>
      <c r="AN8" s="1" t="s">
        <v>73</v>
      </c>
      <c r="AO8" s="1">
        <v>95</v>
      </c>
      <c r="AP8" s="1">
        <v>72</v>
      </c>
      <c r="AQ8" s="1">
        <v>92</v>
      </c>
      <c r="AR8" s="1">
        <v>10</v>
      </c>
      <c r="AS8" s="1">
        <v>9</v>
      </c>
      <c r="AT8" s="1">
        <v>9</v>
      </c>
      <c r="AU8" s="1">
        <v>9</v>
      </c>
      <c r="AV8" s="1">
        <v>97</v>
      </c>
      <c r="AW8" s="1">
        <v>89</v>
      </c>
      <c r="AX8" s="1">
        <v>17</v>
      </c>
      <c r="AY8" s="1">
        <v>1020</v>
      </c>
      <c r="AZ8" s="1">
        <v>29</v>
      </c>
      <c r="BA8" s="1">
        <v>27</v>
      </c>
      <c r="BB8" s="1">
        <v>1</v>
      </c>
      <c r="BC8" s="4">
        <v>0</v>
      </c>
    </row>
    <row r="9" spans="1:55" x14ac:dyDescent="0.3">
      <c r="A9" s="3">
        <v>46114</v>
      </c>
      <c r="B9" s="1" t="s">
        <v>99</v>
      </c>
      <c r="C9" s="1">
        <v>14</v>
      </c>
      <c r="D9" s="1" t="s">
        <v>56</v>
      </c>
      <c r="E9" s="1">
        <v>2026</v>
      </c>
      <c r="F9" s="1" t="s">
        <v>57</v>
      </c>
      <c r="G9" s="1" t="s">
        <v>58</v>
      </c>
      <c r="H9" s="1" t="s">
        <v>59</v>
      </c>
      <c r="I9" s="1" t="s">
        <v>104</v>
      </c>
      <c r="J9" s="1" t="s">
        <v>61</v>
      </c>
      <c r="K9" s="1" t="s">
        <v>105</v>
      </c>
      <c r="L9" s="1" t="s">
        <v>83</v>
      </c>
      <c r="M9" s="1" t="s">
        <v>78</v>
      </c>
      <c r="N9" s="1" t="s">
        <v>84</v>
      </c>
      <c r="O9" s="1" t="s">
        <v>85</v>
      </c>
      <c r="P9" s="1" t="s">
        <v>86</v>
      </c>
      <c r="Q9" s="1" t="s">
        <v>87</v>
      </c>
      <c r="R9" s="1" t="s">
        <v>69</v>
      </c>
      <c r="S9" s="1" t="s">
        <v>70</v>
      </c>
      <c r="T9" s="1" t="s">
        <v>71</v>
      </c>
      <c r="U9" s="2">
        <v>0.375</v>
      </c>
      <c r="V9" s="2">
        <v>0.75</v>
      </c>
      <c r="W9" s="2">
        <v>0.37847222222222221</v>
      </c>
      <c r="X9" s="2">
        <v>0.74930555555555556</v>
      </c>
      <c r="Y9" s="1">
        <v>9</v>
      </c>
      <c r="Z9" s="1">
        <v>8.6</v>
      </c>
      <c r="AA9" s="1">
        <v>20</v>
      </c>
      <c r="AB9" s="1">
        <v>30</v>
      </c>
      <c r="AC9" s="1">
        <v>12</v>
      </c>
      <c r="AD9" s="1">
        <v>92</v>
      </c>
      <c r="AE9" s="1">
        <v>108</v>
      </c>
      <c r="AF9" s="1">
        <v>6</v>
      </c>
      <c r="AG9" s="1">
        <v>410</v>
      </c>
      <c r="AH9" s="1">
        <v>30</v>
      </c>
      <c r="AI9" s="1">
        <v>41</v>
      </c>
      <c r="AJ9" s="1">
        <v>296</v>
      </c>
      <c r="AK9" s="1">
        <v>296</v>
      </c>
      <c r="AL9" s="1" t="s">
        <v>72</v>
      </c>
      <c r="AM9" s="1" t="s">
        <v>73</v>
      </c>
      <c r="AN9" s="1" t="s">
        <v>73</v>
      </c>
      <c r="AO9" s="1">
        <v>90</v>
      </c>
      <c r="AP9" s="1">
        <v>55</v>
      </c>
      <c r="AQ9" s="1">
        <v>86</v>
      </c>
      <c r="AR9" s="1">
        <v>8</v>
      </c>
      <c r="AS9" s="1">
        <v>8</v>
      </c>
      <c r="AT9" s="1">
        <v>8</v>
      </c>
      <c r="AU9" s="1">
        <v>9</v>
      </c>
      <c r="AV9" s="1">
        <v>94</v>
      </c>
      <c r="AW9" s="1">
        <v>83</v>
      </c>
      <c r="AX9" s="1">
        <v>20</v>
      </c>
      <c r="AY9" s="1">
        <v>1020</v>
      </c>
      <c r="AZ9" s="1">
        <v>29</v>
      </c>
      <c r="BA9" s="1">
        <v>27</v>
      </c>
      <c r="BB9" s="1">
        <v>0</v>
      </c>
      <c r="BC9" s="4">
        <v>0</v>
      </c>
    </row>
    <row r="10" spans="1:55" x14ac:dyDescent="0.3">
      <c r="A10" s="3">
        <v>46114</v>
      </c>
      <c r="B10" s="1" t="s">
        <v>99</v>
      </c>
      <c r="C10" s="1">
        <v>14</v>
      </c>
      <c r="D10" s="1" t="s">
        <v>56</v>
      </c>
      <c r="E10" s="1">
        <v>2026</v>
      </c>
      <c r="F10" s="1" t="s">
        <v>57</v>
      </c>
      <c r="G10" s="1" t="s">
        <v>58</v>
      </c>
      <c r="H10" s="1" t="s">
        <v>88</v>
      </c>
      <c r="I10" s="1" t="s">
        <v>106</v>
      </c>
      <c r="J10" s="1" t="s">
        <v>61</v>
      </c>
      <c r="K10" s="1" t="s">
        <v>107</v>
      </c>
      <c r="L10" s="1" t="s">
        <v>63</v>
      </c>
      <c r="M10" s="1" t="s">
        <v>64</v>
      </c>
      <c r="N10" s="1" t="s">
        <v>91</v>
      </c>
      <c r="O10" s="1" t="s">
        <v>92</v>
      </c>
      <c r="P10" s="1" t="s">
        <v>86</v>
      </c>
      <c r="Q10" s="1" t="s">
        <v>87</v>
      </c>
      <c r="R10" s="1" t="s">
        <v>69</v>
      </c>
      <c r="S10" s="1" t="s">
        <v>70</v>
      </c>
      <c r="T10" s="1" t="s">
        <v>71</v>
      </c>
      <c r="U10" s="2">
        <v>0.375</v>
      </c>
      <c r="V10" s="2">
        <v>0.75</v>
      </c>
      <c r="W10" s="2">
        <v>0.37569444444444444</v>
      </c>
      <c r="X10" s="2">
        <v>0.75277777777777777</v>
      </c>
      <c r="Y10" s="1">
        <v>9</v>
      </c>
      <c r="Z10" s="1">
        <v>8.9</v>
      </c>
      <c r="AA10" s="1">
        <v>15</v>
      </c>
      <c r="AB10" s="1">
        <v>30</v>
      </c>
      <c r="AC10" s="1">
        <v>10</v>
      </c>
      <c r="AD10" s="1">
        <v>108</v>
      </c>
      <c r="AE10" s="1">
        <v>122</v>
      </c>
      <c r="AF10" s="1">
        <v>5</v>
      </c>
      <c r="AG10" s="1">
        <v>452</v>
      </c>
      <c r="AH10" s="1">
        <v>34</v>
      </c>
      <c r="AI10" s="1">
        <v>46</v>
      </c>
      <c r="AJ10" s="1">
        <v>301</v>
      </c>
      <c r="AK10" s="1">
        <v>301</v>
      </c>
      <c r="AL10" s="1" t="s">
        <v>72</v>
      </c>
      <c r="AM10" s="1" t="s">
        <v>73</v>
      </c>
      <c r="AN10" s="1" t="s">
        <v>73</v>
      </c>
      <c r="AO10" s="1">
        <v>96</v>
      </c>
      <c r="AP10" s="1">
        <v>75</v>
      </c>
      <c r="AQ10" s="1">
        <v>93</v>
      </c>
      <c r="AR10" s="1">
        <v>9</v>
      </c>
      <c r="AS10" s="1">
        <v>10</v>
      </c>
      <c r="AT10" s="1">
        <v>9</v>
      </c>
      <c r="AU10" s="1">
        <v>10</v>
      </c>
      <c r="AV10" s="1">
        <v>98</v>
      </c>
      <c r="AW10" s="1">
        <v>90</v>
      </c>
      <c r="AX10" s="1">
        <v>16</v>
      </c>
      <c r="AY10" s="1">
        <v>1020</v>
      </c>
      <c r="AZ10" s="1">
        <v>29</v>
      </c>
      <c r="BA10" s="1">
        <v>27</v>
      </c>
      <c r="BB10" s="1">
        <v>1</v>
      </c>
      <c r="BC10" s="4">
        <v>0</v>
      </c>
    </row>
    <row r="11" spans="1:55" x14ac:dyDescent="0.3">
      <c r="A11" s="3">
        <v>46114</v>
      </c>
      <c r="B11" s="1" t="s">
        <v>99</v>
      </c>
      <c r="C11" s="1">
        <v>14</v>
      </c>
      <c r="D11" s="1" t="s">
        <v>56</v>
      </c>
      <c r="E11" s="1">
        <v>2026</v>
      </c>
      <c r="F11" s="1" t="s">
        <v>57</v>
      </c>
      <c r="G11" s="1" t="s">
        <v>58</v>
      </c>
      <c r="H11" s="1" t="s">
        <v>59</v>
      </c>
      <c r="I11" s="1" t="s">
        <v>108</v>
      </c>
      <c r="J11" s="1" t="s">
        <v>61</v>
      </c>
      <c r="K11" s="1" t="s">
        <v>109</v>
      </c>
      <c r="L11" s="1" t="s">
        <v>63</v>
      </c>
      <c r="M11" s="1" t="s">
        <v>78</v>
      </c>
      <c r="N11" s="1" t="s">
        <v>95</v>
      </c>
      <c r="O11" s="1" t="s">
        <v>96</v>
      </c>
      <c r="P11" s="1" t="s">
        <v>97</v>
      </c>
      <c r="Q11" s="1" t="s">
        <v>98</v>
      </c>
      <c r="R11" s="1" t="s">
        <v>69</v>
      </c>
      <c r="S11" s="1" t="s">
        <v>70</v>
      </c>
      <c r="T11" s="1" t="s">
        <v>71</v>
      </c>
      <c r="U11" s="2">
        <v>0.375</v>
      </c>
      <c r="V11" s="2">
        <v>0.75</v>
      </c>
      <c r="W11" s="2">
        <v>0.37708333333333333</v>
      </c>
      <c r="X11" s="2">
        <v>0.75138888888888888</v>
      </c>
      <c r="Y11" s="1">
        <v>9</v>
      </c>
      <c r="Z11" s="1">
        <v>8.6999999999999993</v>
      </c>
      <c r="AA11" s="1">
        <v>18</v>
      </c>
      <c r="AB11" s="1">
        <v>30</v>
      </c>
      <c r="AC11" s="1">
        <v>11</v>
      </c>
      <c r="AD11" s="1">
        <v>99</v>
      </c>
      <c r="AE11" s="1">
        <v>115</v>
      </c>
      <c r="AF11" s="1">
        <v>5</v>
      </c>
      <c r="AG11" s="1">
        <v>438</v>
      </c>
      <c r="AH11" s="1">
        <v>31</v>
      </c>
      <c r="AI11" s="1">
        <v>44</v>
      </c>
      <c r="AJ11" s="1">
        <v>299</v>
      </c>
      <c r="AK11" s="1">
        <v>299</v>
      </c>
      <c r="AL11" s="1" t="s">
        <v>72</v>
      </c>
      <c r="AM11" s="1" t="s">
        <v>73</v>
      </c>
      <c r="AN11" s="1" t="s">
        <v>73</v>
      </c>
      <c r="AO11" s="1">
        <v>92</v>
      </c>
      <c r="AP11" s="1">
        <v>60</v>
      </c>
      <c r="AQ11" s="1">
        <v>88</v>
      </c>
      <c r="AR11" s="1">
        <v>9</v>
      </c>
      <c r="AS11" s="1">
        <v>9</v>
      </c>
      <c r="AT11" s="1">
        <v>8</v>
      </c>
      <c r="AU11" s="1">
        <v>9</v>
      </c>
      <c r="AV11" s="1">
        <v>95</v>
      </c>
      <c r="AW11" s="1">
        <v>85</v>
      </c>
      <c r="AX11" s="1">
        <v>19</v>
      </c>
      <c r="AY11" s="1">
        <v>1020</v>
      </c>
      <c r="AZ11" s="1">
        <v>29</v>
      </c>
      <c r="BA11" s="1">
        <v>27</v>
      </c>
      <c r="BB11" s="1">
        <v>0</v>
      </c>
      <c r="BC11" s="4">
        <v>0</v>
      </c>
    </row>
    <row r="12" spans="1:55" x14ac:dyDescent="0.3">
      <c r="A12" s="3">
        <v>46115</v>
      </c>
      <c r="B12" s="1" t="s">
        <v>110</v>
      </c>
      <c r="C12" s="1">
        <v>14</v>
      </c>
      <c r="D12" s="1" t="s">
        <v>56</v>
      </c>
      <c r="E12" s="1">
        <v>2026</v>
      </c>
      <c r="F12" s="1" t="s">
        <v>57</v>
      </c>
      <c r="G12" s="1" t="s">
        <v>58</v>
      </c>
      <c r="H12" s="1" t="s">
        <v>59</v>
      </c>
      <c r="I12" s="1" t="s">
        <v>111</v>
      </c>
      <c r="J12" s="1" t="s">
        <v>61</v>
      </c>
      <c r="K12" s="1" t="s">
        <v>112</v>
      </c>
      <c r="L12" s="1" t="s">
        <v>63</v>
      </c>
      <c r="M12" s="1" t="s">
        <v>64</v>
      </c>
      <c r="N12" s="1" t="s">
        <v>65</v>
      </c>
      <c r="O12" s="1" t="s">
        <v>66</v>
      </c>
      <c r="P12" s="1" t="s">
        <v>67</v>
      </c>
      <c r="Q12" s="1" t="s">
        <v>68</v>
      </c>
      <c r="R12" s="1" t="s">
        <v>69</v>
      </c>
      <c r="S12" s="1" t="s">
        <v>70</v>
      </c>
      <c r="T12" s="1" t="s">
        <v>71</v>
      </c>
      <c r="U12" s="2">
        <v>0.375</v>
      </c>
      <c r="V12" s="2">
        <v>0.75</v>
      </c>
      <c r="W12" s="2">
        <v>0.37638888888888888</v>
      </c>
      <c r="X12" s="2">
        <v>0.75</v>
      </c>
      <c r="Y12" s="1">
        <v>9</v>
      </c>
      <c r="Z12" s="1">
        <v>8.8000000000000007</v>
      </c>
      <c r="AA12" s="1">
        <v>15</v>
      </c>
      <c r="AB12" s="1">
        <v>30</v>
      </c>
      <c r="AC12" s="1">
        <v>9</v>
      </c>
      <c r="AD12" s="1">
        <v>98</v>
      </c>
      <c r="AE12" s="1">
        <v>114</v>
      </c>
      <c r="AF12" s="1">
        <v>4</v>
      </c>
      <c r="AG12" s="1">
        <v>430</v>
      </c>
      <c r="AH12" s="1">
        <v>31</v>
      </c>
      <c r="AI12" s="1">
        <v>43</v>
      </c>
      <c r="AJ12" s="1">
        <v>298</v>
      </c>
      <c r="AK12" s="1">
        <v>298</v>
      </c>
      <c r="AL12" s="1" t="s">
        <v>72</v>
      </c>
      <c r="AM12" s="1" t="s">
        <v>73</v>
      </c>
      <c r="AN12" s="1" t="s">
        <v>73</v>
      </c>
      <c r="AO12" s="1">
        <v>93</v>
      </c>
      <c r="AP12" s="1">
        <v>63</v>
      </c>
      <c r="AQ12" s="1">
        <v>89</v>
      </c>
      <c r="AR12" s="1">
        <v>9</v>
      </c>
      <c r="AS12" s="1">
        <v>9</v>
      </c>
      <c r="AT12" s="1">
        <v>9</v>
      </c>
      <c r="AU12" s="1">
        <v>9</v>
      </c>
      <c r="AV12" s="1">
        <v>96</v>
      </c>
      <c r="AW12" s="1">
        <v>86</v>
      </c>
      <c r="AX12" s="1">
        <v>18</v>
      </c>
      <c r="AY12" s="1">
        <v>1010</v>
      </c>
      <c r="AZ12" s="1">
        <v>28</v>
      </c>
      <c r="BA12" s="1">
        <v>27</v>
      </c>
      <c r="BB12" s="1">
        <v>0</v>
      </c>
      <c r="BC12" s="4">
        <v>0</v>
      </c>
    </row>
    <row r="13" spans="1:55" x14ac:dyDescent="0.3">
      <c r="A13" s="3">
        <v>46115</v>
      </c>
      <c r="B13" s="1" t="s">
        <v>110</v>
      </c>
      <c r="C13" s="1">
        <v>14</v>
      </c>
      <c r="D13" s="1" t="s">
        <v>56</v>
      </c>
      <c r="E13" s="1">
        <v>2026</v>
      </c>
      <c r="F13" s="1" t="s">
        <v>57</v>
      </c>
      <c r="G13" s="1" t="s">
        <v>58</v>
      </c>
      <c r="H13" s="1" t="s">
        <v>74</v>
      </c>
      <c r="I13" s="1" t="s">
        <v>113</v>
      </c>
      <c r="J13" s="1" t="s">
        <v>61</v>
      </c>
      <c r="K13" s="1" t="s">
        <v>114</v>
      </c>
      <c r="L13" s="1" t="s">
        <v>77</v>
      </c>
      <c r="M13" s="1" t="s">
        <v>78</v>
      </c>
      <c r="N13" s="1" t="s">
        <v>79</v>
      </c>
      <c r="O13" s="1" t="s">
        <v>80</v>
      </c>
      <c r="P13" s="1" t="s">
        <v>67</v>
      </c>
      <c r="Q13" s="1" t="s">
        <v>68</v>
      </c>
      <c r="R13" s="1" t="s">
        <v>69</v>
      </c>
      <c r="S13" s="1" t="s">
        <v>70</v>
      </c>
      <c r="T13" s="1" t="s">
        <v>71</v>
      </c>
      <c r="U13" s="2">
        <v>0.375</v>
      </c>
      <c r="V13" s="2">
        <v>0.75</v>
      </c>
      <c r="W13" s="2">
        <v>0.375</v>
      </c>
      <c r="X13" s="2">
        <v>0.75138888888888888</v>
      </c>
      <c r="Y13" s="1">
        <v>9</v>
      </c>
      <c r="Z13" s="1">
        <v>8.9</v>
      </c>
      <c r="AA13" s="1">
        <v>15</v>
      </c>
      <c r="AB13" s="1">
        <v>30</v>
      </c>
      <c r="AC13" s="1">
        <v>8</v>
      </c>
      <c r="AD13" s="1">
        <v>115</v>
      </c>
      <c r="AE13" s="1">
        <v>132</v>
      </c>
      <c r="AF13" s="1">
        <v>6</v>
      </c>
      <c r="AG13" s="1">
        <v>480</v>
      </c>
      <c r="AH13" s="1">
        <v>37</v>
      </c>
      <c r="AI13" s="1">
        <v>48</v>
      </c>
      <c r="AJ13" s="1">
        <v>305</v>
      </c>
      <c r="AK13" s="1">
        <v>305</v>
      </c>
      <c r="AL13" s="1" t="s">
        <v>72</v>
      </c>
      <c r="AM13" s="1" t="s">
        <v>73</v>
      </c>
      <c r="AN13" s="1" t="s">
        <v>73</v>
      </c>
      <c r="AO13" s="1">
        <v>95</v>
      </c>
      <c r="AP13" s="1">
        <v>70</v>
      </c>
      <c r="AQ13" s="1">
        <v>92</v>
      </c>
      <c r="AR13" s="1">
        <v>10</v>
      </c>
      <c r="AS13" s="1">
        <v>9</v>
      </c>
      <c r="AT13" s="1">
        <v>9</v>
      </c>
      <c r="AU13" s="1">
        <v>9</v>
      </c>
      <c r="AV13" s="1">
        <v>97</v>
      </c>
      <c r="AW13" s="1">
        <v>89</v>
      </c>
      <c r="AX13" s="1">
        <v>17</v>
      </c>
      <c r="AY13" s="1">
        <v>1010</v>
      </c>
      <c r="AZ13" s="1">
        <v>28</v>
      </c>
      <c r="BA13" s="1">
        <v>27</v>
      </c>
      <c r="BB13" s="1">
        <v>1</v>
      </c>
      <c r="BC13" s="4">
        <v>0</v>
      </c>
    </row>
    <row r="14" spans="1:55" x14ac:dyDescent="0.3">
      <c r="A14" s="3">
        <v>46115</v>
      </c>
      <c r="B14" s="1" t="s">
        <v>110</v>
      </c>
      <c r="C14" s="1">
        <v>14</v>
      </c>
      <c r="D14" s="1" t="s">
        <v>56</v>
      </c>
      <c r="E14" s="1">
        <v>2026</v>
      </c>
      <c r="F14" s="1" t="s">
        <v>57</v>
      </c>
      <c r="G14" s="1" t="s">
        <v>58</v>
      </c>
      <c r="H14" s="1" t="s">
        <v>59</v>
      </c>
      <c r="I14" s="1" t="s">
        <v>115</v>
      </c>
      <c r="J14" s="1" t="s">
        <v>61</v>
      </c>
      <c r="K14" s="1" t="s">
        <v>116</v>
      </c>
      <c r="L14" s="1" t="s">
        <v>83</v>
      </c>
      <c r="M14" s="1" t="s">
        <v>64</v>
      </c>
      <c r="N14" s="1" t="s">
        <v>84</v>
      </c>
      <c r="O14" s="1" t="s">
        <v>85</v>
      </c>
      <c r="P14" s="1" t="s">
        <v>86</v>
      </c>
      <c r="Q14" s="1" t="s">
        <v>87</v>
      </c>
      <c r="R14" s="1" t="s">
        <v>69</v>
      </c>
      <c r="S14" s="1" t="s">
        <v>70</v>
      </c>
      <c r="T14" s="1" t="s">
        <v>71</v>
      </c>
      <c r="U14" s="2">
        <v>0.375</v>
      </c>
      <c r="V14" s="2">
        <v>0.75</v>
      </c>
      <c r="W14" s="2">
        <v>0.37916666666666665</v>
      </c>
      <c r="X14" s="2">
        <v>0.74930555555555556</v>
      </c>
      <c r="Y14" s="1">
        <v>9</v>
      </c>
      <c r="Z14" s="1">
        <v>8.5</v>
      </c>
      <c r="AA14" s="1">
        <v>20</v>
      </c>
      <c r="AB14" s="1">
        <v>30</v>
      </c>
      <c r="AC14" s="1">
        <v>12</v>
      </c>
      <c r="AD14" s="1">
        <v>90</v>
      </c>
      <c r="AE14" s="1">
        <v>105</v>
      </c>
      <c r="AF14" s="1">
        <v>5</v>
      </c>
      <c r="AG14" s="1">
        <v>400</v>
      </c>
      <c r="AH14" s="1">
        <v>29</v>
      </c>
      <c r="AI14" s="1">
        <v>40</v>
      </c>
      <c r="AJ14" s="1">
        <v>297</v>
      </c>
      <c r="AK14" s="1">
        <v>297</v>
      </c>
      <c r="AL14" s="1" t="s">
        <v>72</v>
      </c>
      <c r="AM14" s="1" t="s">
        <v>73</v>
      </c>
      <c r="AN14" s="1" t="s">
        <v>73</v>
      </c>
      <c r="AO14" s="1">
        <v>91</v>
      </c>
      <c r="AP14" s="1">
        <v>56</v>
      </c>
      <c r="AQ14" s="1">
        <v>86</v>
      </c>
      <c r="AR14" s="1">
        <v>8</v>
      </c>
      <c r="AS14" s="1">
        <v>8</v>
      </c>
      <c r="AT14" s="1">
        <v>8</v>
      </c>
      <c r="AU14" s="1">
        <v>9</v>
      </c>
      <c r="AV14" s="1">
        <v>94</v>
      </c>
      <c r="AW14" s="1">
        <v>83</v>
      </c>
      <c r="AX14" s="1">
        <v>20</v>
      </c>
      <c r="AY14" s="1">
        <v>1010</v>
      </c>
      <c r="AZ14" s="1">
        <v>28</v>
      </c>
      <c r="BA14" s="1">
        <v>27</v>
      </c>
      <c r="BB14" s="1">
        <v>0</v>
      </c>
      <c r="BC14" s="4">
        <v>0</v>
      </c>
    </row>
    <row r="15" spans="1:55" x14ac:dyDescent="0.3">
      <c r="A15" s="3">
        <v>46115</v>
      </c>
      <c r="B15" s="1" t="s">
        <v>110</v>
      </c>
      <c r="C15" s="1">
        <v>14</v>
      </c>
      <c r="D15" s="1" t="s">
        <v>56</v>
      </c>
      <c r="E15" s="1">
        <v>2026</v>
      </c>
      <c r="F15" s="1" t="s">
        <v>57</v>
      </c>
      <c r="G15" s="1" t="s">
        <v>58</v>
      </c>
      <c r="H15" s="1" t="s">
        <v>88</v>
      </c>
      <c r="I15" s="1" t="s">
        <v>117</v>
      </c>
      <c r="J15" s="1" t="s">
        <v>61</v>
      </c>
      <c r="K15" s="1" t="s">
        <v>118</v>
      </c>
      <c r="L15" s="1" t="s">
        <v>63</v>
      </c>
      <c r="M15" s="1" t="s">
        <v>78</v>
      </c>
      <c r="N15" s="1" t="s">
        <v>91</v>
      </c>
      <c r="O15" s="1" t="s">
        <v>92</v>
      </c>
      <c r="P15" s="1" t="s">
        <v>86</v>
      </c>
      <c r="Q15" s="1" t="s">
        <v>87</v>
      </c>
      <c r="R15" s="1" t="s">
        <v>69</v>
      </c>
      <c r="S15" s="1" t="s">
        <v>70</v>
      </c>
      <c r="T15" s="1" t="s">
        <v>71</v>
      </c>
      <c r="U15" s="2">
        <v>0.375</v>
      </c>
      <c r="V15" s="2">
        <v>0.75</v>
      </c>
      <c r="W15" s="2">
        <v>0.37638888888888888</v>
      </c>
      <c r="X15" s="2">
        <v>0.75208333333333333</v>
      </c>
      <c r="Y15" s="1">
        <v>9</v>
      </c>
      <c r="Z15" s="1">
        <v>8.8000000000000007</v>
      </c>
      <c r="AA15" s="1">
        <v>15</v>
      </c>
      <c r="AB15" s="1">
        <v>30</v>
      </c>
      <c r="AC15" s="1">
        <v>9</v>
      </c>
      <c r="AD15" s="1">
        <v>105</v>
      </c>
      <c r="AE15" s="1">
        <v>120</v>
      </c>
      <c r="AF15" s="1">
        <v>5</v>
      </c>
      <c r="AG15" s="1">
        <v>450</v>
      </c>
      <c r="AH15" s="1">
        <v>34</v>
      </c>
      <c r="AI15" s="1">
        <v>46</v>
      </c>
      <c r="AJ15" s="1">
        <v>300</v>
      </c>
      <c r="AK15" s="1">
        <v>300</v>
      </c>
      <c r="AL15" s="1" t="s">
        <v>72</v>
      </c>
      <c r="AM15" s="1" t="s">
        <v>73</v>
      </c>
      <c r="AN15" s="1" t="s">
        <v>73</v>
      </c>
      <c r="AO15" s="1">
        <v>96</v>
      </c>
      <c r="AP15" s="1">
        <v>74</v>
      </c>
      <c r="AQ15" s="1">
        <v>93</v>
      </c>
      <c r="AR15" s="1">
        <v>9</v>
      </c>
      <c r="AS15" s="1">
        <v>10</v>
      </c>
      <c r="AT15" s="1">
        <v>9</v>
      </c>
      <c r="AU15" s="1">
        <v>10</v>
      </c>
      <c r="AV15" s="1">
        <v>98</v>
      </c>
      <c r="AW15" s="1">
        <v>89</v>
      </c>
      <c r="AX15" s="1">
        <v>17</v>
      </c>
      <c r="AY15" s="1">
        <v>1010</v>
      </c>
      <c r="AZ15" s="1">
        <v>28</v>
      </c>
      <c r="BA15" s="1">
        <v>27</v>
      </c>
      <c r="BB15" s="1">
        <v>0</v>
      </c>
      <c r="BC15" s="4">
        <v>0</v>
      </c>
    </row>
    <row r="16" spans="1:55" x14ac:dyDescent="0.3">
      <c r="A16" s="8">
        <v>46115</v>
      </c>
      <c r="B16" s="9" t="s">
        <v>110</v>
      </c>
      <c r="C16" s="9">
        <v>14</v>
      </c>
      <c r="D16" s="9" t="s">
        <v>56</v>
      </c>
      <c r="E16" s="9">
        <v>2026</v>
      </c>
      <c r="F16" s="9" t="s">
        <v>57</v>
      </c>
      <c r="G16" s="9" t="s">
        <v>58</v>
      </c>
      <c r="H16" s="9" t="s">
        <v>59</v>
      </c>
      <c r="I16" s="9" t="s">
        <v>119</v>
      </c>
      <c r="J16" s="9" t="s">
        <v>61</v>
      </c>
      <c r="K16" s="9" t="s">
        <v>120</v>
      </c>
      <c r="L16" s="9" t="s">
        <v>63</v>
      </c>
      <c r="M16" s="9" t="s">
        <v>64</v>
      </c>
      <c r="N16" s="9" t="s">
        <v>95</v>
      </c>
      <c r="O16" s="9" t="s">
        <v>96</v>
      </c>
      <c r="P16" s="9" t="s">
        <v>97</v>
      </c>
      <c r="Q16" s="9" t="s">
        <v>98</v>
      </c>
      <c r="R16" s="9" t="s">
        <v>69</v>
      </c>
      <c r="S16" s="9" t="s">
        <v>70</v>
      </c>
      <c r="T16" s="9" t="s">
        <v>71</v>
      </c>
      <c r="U16" s="10">
        <v>0.375</v>
      </c>
      <c r="V16" s="10">
        <v>0.75</v>
      </c>
      <c r="W16" s="10">
        <v>0.37777777777777777</v>
      </c>
      <c r="X16" s="10">
        <v>0.75069444444444444</v>
      </c>
      <c r="Y16" s="9">
        <v>9</v>
      </c>
      <c r="Z16" s="9">
        <v>8.6999999999999993</v>
      </c>
      <c r="AA16" s="9">
        <v>18</v>
      </c>
      <c r="AB16" s="9">
        <v>30</v>
      </c>
      <c r="AC16" s="9">
        <v>11</v>
      </c>
      <c r="AD16" s="9">
        <v>101</v>
      </c>
      <c r="AE16" s="9">
        <v>116</v>
      </c>
      <c r="AF16" s="9">
        <v>6</v>
      </c>
      <c r="AG16" s="9">
        <v>440</v>
      </c>
      <c r="AH16" s="9">
        <v>32</v>
      </c>
      <c r="AI16" s="9">
        <v>44</v>
      </c>
      <c r="AJ16" s="9">
        <v>299</v>
      </c>
      <c r="AK16" s="9">
        <v>299</v>
      </c>
      <c r="AL16" s="9" t="s">
        <v>72</v>
      </c>
      <c r="AM16" s="9" t="s">
        <v>73</v>
      </c>
      <c r="AN16" s="9" t="s">
        <v>73</v>
      </c>
      <c r="AO16" s="9">
        <v>92</v>
      </c>
      <c r="AP16" s="9">
        <v>61</v>
      </c>
      <c r="AQ16" s="9">
        <v>88</v>
      </c>
      <c r="AR16" s="9">
        <v>9</v>
      </c>
      <c r="AS16" s="9">
        <v>9</v>
      </c>
      <c r="AT16" s="9">
        <v>8</v>
      </c>
      <c r="AU16" s="9">
        <v>9</v>
      </c>
      <c r="AV16" s="9">
        <v>95</v>
      </c>
      <c r="AW16" s="9">
        <v>86</v>
      </c>
      <c r="AX16" s="9">
        <v>19</v>
      </c>
      <c r="AY16" s="9">
        <v>1010</v>
      </c>
      <c r="AZ16" s="9">
        <v>28</v>
      </c>
      <c r="BA16" s="9">
        <v>27</v>
      </c>
      <c r="BB16" s="9">
        <v>0</v>
      </c>
      <c r="BC16" s="1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1296-D75A-4919-B47B-E60E315C7448}">
  <dimension ref="A1:B6"/>
  <sheetViews>
    <sheetView workbookViewId="0">
      <selection activeCell="B4" sqref="B4"/>
    </sheetView>
  </sheetViews>
  <sheetFormatPr defaultRowHeight="14.4" x14ac:dyDescent="0.3"/>
  <cols>
    <col min="1" max="1" width="20.88671875" bestFit="1" customWidth="1"/>
    <col min="2" max="2" width="11.5546875" bestFit="1" customWidth="1"/>
  </cols>
  <sheetData>
    <row r="1" spans="1:2" x14ac:dyDescent="0.3">
      <c r="A1" s="13" t="s">
        <v>121</v>
      </c>
      <c r="B1" s="13" t="s">
        <v>122</v>
      </c>
    </row>
    <row r="2" spans="1:2" x14ac:dyDescent="0.3">
      <c r="A2" s="13" t="s">
        <v>123</v>
      </c>
      <c r="B2" s="14">
        <f>SUM(Bpo_Data[Calls_Handled])</f>
        <v>1512</v>
      </c>
    </row>
    <row r="3" spans="1:2" x14ac:dyDescent="0.3">
      <c r="A3" s="13" t="s">
        <v>124</v>
      </c>
      <c r="B3" s="14">
        <f>AVERAGE(Bpo_Data[AHT_Sec])</f>
        <v>299.93333333333334</v>
      </c>
    </row>
    <row r="4" spans="1:2" x14ac:dyDescent="0.3">
      <c r="A4" s="13" t="s">
        <v>125</v>
      </c>
      <c r="B4" s="14">
        <f>AVERAGE(Bpo_Data[Customer_Satisfaction])</f>
        <v>93</v>
      </c>
    </row>
    <row r="5" spans="1:2" x14ac:dyDescent="0.3">
      <c r="A5" s="13" t="s">
        <v>126</v>
      </c>
      <c r="B5" s="14">
        <f>AVERAGE(Bpo_Data[QA_Score])</f>
        <v>89.13333333333334</v>
      </c>
    </row>
    <row r="6" spans="1:2" x14ac:dyDescent="0.3">
      <c r="A6" s="13" t="s">
        <v>127</v>
      </c>
      <c r="B6" s="14">
        <f>AVERAGE(Bpo_Data[Adherence_Percentage])</f>
        <v>95.933333333333337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3942-40B4-4854-B53D-617C3C08A9F4}">
  <dimension ref="A1:F6"/>
  <sheetViews>
    <sheetView workbookViewId="0">
      <selection sqref="A1:F7"/>
    </sheetView>
  </sheetViews>
  <sheetFormatPr defaultRowHeight="14.4" x14ac:dyDescent="0.3"/>
  <cols>
    <col min="1" max="1" width="11.21875" bestFit="1" customWidth="1"/>
    <col min="2" max="2" width="18.21875" bestFit="1" customWidth="1"/>
    <col min="3" max="3" width="12.21875" bestFit="1" customWidth="1"/>
    <col min="4" max="4" width="13.109375" bestFit="1" customWidth="1"/>
    <col min="5" max="5" width="16.5546875" bestFit="1" customWidth="1"/>
    <col min="6" max="6" width="28.33203125" bestFit="1" customWidth="1"/>
  </cols>
  <sheetData>
    <row r="1" spans="1:6" x14ac:dyDescent="0.3">
      <c r="A1" s="12" t="s">
        <v>132</v>
      </c>
      <c r="B1" s="1" t="s">
        <v>133</v>
      </c>
      <c r="C1" s="1" t="s">
        <v>134</v>
      </c>
      <c r="D1" s="1" t="s">
        <v>135</v>
      </c>
      <c r="E1" s="1" t="s">
        <v>136</v>
      </c>
      <c r="F1" s="1" t="s">
        <v>137</v>
      </c>
    </row>
    <row r="2" spans="1:6" x14ac:dyDescent="0.3">
      <c r="A2" s="1" t="s">
        <v>85</v>
      </c>
      <c r="B2" s="17">
        <v>270</v>
      </c>
      <c r="C2" s="17">
        <v>296</v>
      </c>
      <c r="D2" s="17">
        <v>90.333333333333329</v>
      </c>
      <c r="E2" s="17">
        <v>85.666666666666671</v>
      </c>
      <c r="F2" s="17">
        <v>93.666666666666671</v>
      </c>
    </row>
    <row r="3" spans="1:6" x14ac:dyDescent="0.3">
      <c r="A3" s="1" t="s">
        <v>96</v>
      </c>
      <c r="B3" s="17">
        <v>297</v>
      </c>
      <c r="C3" s="17">
        <v>298.66666666666669</v>
      </c>
      <c r="D3" s="17">
        <v>91.666666666666671</v>
      </c>
      <c r="E3" s="17">
        <v>87.666666666666671</v>
      </c>
      <c r="F3" s="17">
        <v>95</v>
      </c>
    </row>
    <row r="4" spans="1:6" x14ac:dyDescent="0.3">
      <c r="A4" s="1" t="s">
        <v>80</v>
      </c>
      <c r="B4" s="17">
        <v>337</v>
      </c>
      <c r="C4" s="17">
        <v>304.66666666666669</v>
      </c>
      <c r="D4" s="17">
        <v>94.666666666666671</v>
      </c>
      <c r="E4" s="17">
        <v>91.333333333333329</v>
      </c>
      <c r="F4" s="17">
        <v>97</v>
      </c>
    </row>
    <row r="5" spans="1:6" x14ac:dyDescent="0.3">
      <c r="A5" s="1" t="s">
        <v>66</v>
      </c>
      <c r="B5" s="17">
        <v>293</v>
      </c>
      <c r="C5" s="17">
        <v>299.33333333333331</v>
      </c>
      <c r="D5" s="17">
        <v>92.666666666666671</v>
      </c>
      <c r="E5" s="17">
        <v>88.666666666666671</v>
      </c>
      <c r="F5" s="17">
        <v>96</v>
      </c>
    </row>
    <row r="6" spans="1:6" x14ac:dyDescent="0.3">
      <c r="A6" s="1" t="s">
        <v>129</v>
      </c>
      <c r="B6" s="17">
        <v>1197</v>
      </c>
      <c r="C6" s="17">
        <v>299.66666666666669</v>
      </c>
      <c r="D6" s="17">
        <v>92.333333333333329</v>
      </c>
      <c r="E6" s="17">
        <v>88.333333333333329</v>
      </c>
      <c r="F6" s="17">
        <v>95.416666666666671</v>
      </c>
    </row>
  </sheetData>
  <conditionalFormatting pivot="1" sqref="B2:B6">
    <cfRule type="colorScale" priority="5">
      <colorScale>
        <cfvo type="min"/>
        <cfvo type="percentile" val="50"/>
        <cfvo type="max"/>
        <color rgb="FFF8696B"/>
        <color rgb="FFFFEB84"/>
        <color rgb="FF63BE7B"/>
      </colorScale>
    </cfRule>
  </conditionalFormatting>
  <conditionalFormatting pivot="1" sqref="C2:C6">
    <cfRule type="colorScale" priority="4">
      <colorScale>
        <cfvo type="min"/>
        <cfvo type="percentile" val="50"/>
        <cfvo type="max"/>
        <color rgb="FF63BE7B"/>
        <color rgb="FFFFEB84"/>
        <color rgb="FFF8696B"/>
      </colorScale>
    </cfRule>
  </conditionalFormatting>
  <conditionalFormatting pivot="1" sqref="D2:D6">
    <cfRule type="colorScale" priority="3">
      <colorScale>
        <cfvo type="min"/>
        <cfvo type="max"/>
        <color rgb="FFFFFF00"/>
        <color rgb="FF00B050"/>
      </colorScale>
    </cfRule>
  </conditionalFormatting>
  <conditionalFormatting pivot="1" sqref="E2:E6">
    <cfRule type="colorScale" priority="2">
      <colorScale>
        <cfvo type="min"/>
        <cfvo type="percentile" val="50"/>
        <cfvo type="max"/>
        <color rgb="FFF8696B"/>
        <color rgb="FFFFEB84"/>
        <color rgb="FF63BE7B"/>
      </colorScale>
    </cfRule>
  </conditionalFormatting>
  <conditionalFormatting pivot="1" sqref="F2:F6">
    <cfRule type="colorScale" priority="1">
      <colorScale>
        <cfvo type="min"/>
        <cfvo type="max"/>
        <color rgb="FFFFFF00"/>
        <color rgb="FF00B05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8F08-1339-4C8C-BC35-C15E9FB87A1E}">
  <dimension ref="A1:D6"/>
  <sheetViews>
    <sheetView workbookViewId="0">
      <selection sqref="A1:D6"/>
    </sheetView>
  </sheetViews>
  <sheetFormatPr defaultRowHeight="14.4" x14ac:dyDescent="0.3"/>
  <cols>
    <col min="1" max="1" width="14.77734375" bestFit="1" customWidth="1"/>
    <col min="2" max="2" width="18.88671875" bestFit="1" customWidth="1"/>
    <col min="3" max="3" width="19.44140625" bestFit="1" customWidth="1"/>
    <col min="4" max="4" width="22.44140625" bestFit="1" customWidth="1"/>
  </cols>
  <sheetData>
    <row r="1" spans="1:4" x14ac:dyDescent="0.3">
      <c r="A1" s="12" t="s">
        <v>128</v>
      </c>
      <c r="B1" s="1" t="s">
        <v>138</v>
      </c>
      <c r="C1" s="1" t="s">
        <v>130</v>
      </c>
      <c r="D1" s="1" t="s">
        <v>139</v>
      </c>
    </row>
    <row r="2" spans="1:4" x14ac:dyDescent="0.3">
      <c r="A2" s="1" t="s">
        <v>56</v>
      </c>
      <c r="B2" s="17">
        <v>1387</v>
      </c>
      <c r="C2" s="17">
        <v>1197</v>
      </c>
      <c r="D2" s="17">
        <v>62</v>
      </c>
    </row>
    <row r="3" spans="1:4" x14ac:dyDescent="0.3">
      <c r="A3" s="1" t="s">
        <v>140</v>
      </c>
      <c r="B3" s="17">
        <v>449</v>
      </c>
      <c r="C3" s="17">
        <v>390</v>
      </c>
      <c r="D3" s="17">
        <v>21</v>
      </c>
    </row>
    <row r="4" spans="1:4" x14ac:dyDescent="0.3">
      <c r="A4" s="1" t="s">
        <v>141</v>
      </c>
      <c r="B4" s="17">
        <v>471</v>
      </c>
      <c r="C4" s="17">
        <v>403</v>
      </c>
      <c r="D4" s="17">
        <v>20</v>
      </c>
    </row>
    <row r="5" spans="1:4" x14ac:dyDescent="0.3">
      <c r="A5" s="1" t="s">
        <v>142</v>
      </c>
      <c r="B5" s="17">
        <v>467</v>
      </c>
      <c r="C5" s="17">
        <v>404</v>
      </c>
      <c r="D5" s="17">
        <v>21</v>
      </c>
    </row>
    <row r="6" spans="1:4" x14ac:dyDescent="0.3">
      <c r="A6" s="1" t="s">
        <v>129</v>
      </c>
      <c r="B6" s="17">
        <v>1387</v>
      </c>
      <c r="C6" s="17">
        <v>1197</v>
      </c>
      <c r="D6" s="17">
        <v>62</v>
      </c>
    </row>
  </sheetData>
  <conditionalFormatting pivot="1" sqref="B3:B5">
    <cfRule type="colorScale" priority="5">
      <colorScale>
        <cfvo type="min"/>
        <cfvo type="max"/>
        <color rgb="FFFFFF00"/>
        <color rgb="FF00B050"/>
      </colorScale>
    </cfRule>
  </conditionalFormatting>
  <conditionalFormatting pivot="1" sqref="C3:C5">
    <cfRule type="colorScale" priority="4">
      <colorScale>
        <cfvo type="min"/>
        <cfvo type="percentile" val="50"/>
        <cfvo type="max"/>
        <color rgb="FFF8696B"/>
        <color rgb="FFFFEB84"/>
        <color rgb="FF63BE7B"/>
      </colorScale>
    </cfRule>
  </conditionalFormatting>
  <conditionalFormatting pivot="1" sqref="D3:D5">
    <cfRule type="colorScale" priority="3">
      <colorScale>
        <cfvo type="min"/>
        <cfvo type="percentile" val="50"/>
        <cfvo type="max"/>
        <color rgb="FF63BE7B"/>
        <color rgb="FFFFEB84"/>
        <color rgb="FFF8696B"/>
      </colorScale>
    </cfRule>
  </conditionalFormatting>
  <conditionalFormatting pivot="1" sqref="D3:D5">
    <cfRule type="colorScale" priority="2">
      <colorScale>
        <cfvo type="min"/>
        <cfvo type="max"/>
        <color rgb="FFFF0000"/>
        <color rgb="FFFA6050"/>
      </colorScale>
    </cfRule>
  </conditionalFormatting>
  <conditionalFormatting pivot="1" sqref="D3:D5">
    <cfRule type="colorScale" priority="1">
      <colorScale>
        <cfvo type="min"/>
        <cfvo type="max"/>
        <color rgb="FFFA6050"/>
        <color rgb="FFFF00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D0BD-52EC-459E-8E09-318A3D67C6B8}">
  <dimension ref="A1:G4"/>
  <sheetViews>
    <sheetView workbookViewId="0">
      <selection activeCell="G1" sqref="A1:G4"/>
    </sheetView>
  </sheetViews>
  <sheetFormatPr defaultRowHeight="14.4" x14ac:dyDescent="0.3"/>
  <cols>
    <col min="1" max="1" width="6.44140625" bestFit="1" customWidth="1"/>
    <col min="2" max="2" width="12" bestFit="1" customWidth="1"/>
    <col min="3" max="3" width="8.21875" bestFit="1" customWidth="1"/>
    <col min="4" max="4" width="9" bestFit="1" customWidth="1"/>
    <col min="5" max="5" width="14.21875" bestFit="1" customWidth="1"/>
    <col min="6" max="6" width="14.33203125" bestFit="1" customWidth="1"/>
    <col min="7" max="7" width="4.21875" bestFit="1" customWidth="1"/>
  </cols>
  <sheetData>
    <row r="1" spans="1:7" x14ac:dyDescent="0.3">
      <c r="A1" s="1" t="s">
        <v>0</v>
      </c>
      <c r="B1" s="1" t="s">
        <v>143</v>
      </c>
      <c r="C1" s="1" t="s">
        <v>144</v>
      </c>
      <c r="D1" s="1" t="s">
        <v>145</v>
      </c>
      <c r="E1" s="1" t="s">
        <v>146</v>
      </c>
      <c r="F1" s="1" t="s">
        <v>147</v>
      </c>
      <c r="G1" s="1" t="s">
        <v>148</v>
      </c>
    </row>
    <row r="2" spans="1:7" x14ac:dyDescent="0.3">
      <c r="A2" s="1" t="s">
        <v>140</v>
      </c>
      <c r="B2" s="1">
        <v>567</v>
      </c>
      <c r="C2" s="1">
        <v>300</v>
      </c>
      <c r="D2" s="1">
        <f>B2*C2</f>
        <v>170100</v>
      </c>
      <c r="E2" s="1">
        <f>ROUNDUP(D2/3600,0)</f>
        <v>48</v>
      </c>
      <c r="F2" s="1">
        <v>45</v>
      </c>
      <c r="G2" s="1">
        <f>F2-E2</f>
        <v>-3</v>
      </c>
    </row>
    <row r="3" spans="1:7" x14ac:dyDescent="0.3">
      <c r="A3" s="1" t="s">
        <v>141</v>
      </c>
      <c r="B3" s="1">
        <v>593</v>
      </c>
      <c r="C3" s="1">
        <v>300</v>
      </c>
      <c r="D3" s="1">
        <f t="shared" ref="D3:D4" si="0">B3*C3</f>
        <v>177900</v>
      </c>
      <c r="E3" s="1">
        <f t="shared" ref="E3:E4" si="1">ROUNDUP(D3/3600,0)</f>
        <v>50</v>
      </c>
      <c r="F3" s="1">
        <v>50</v>
      </c>
      <c r="G3" s="1">
        <f t="shared" ref="G3:G4" si="2">F3-E3</f>
        <v>0</v>
      </c>
    </row>
    <row r="4" spans="1:7" x14ac:dyDescent="0.3">
      <c r="A4" s="1" t="s">
        <v>142</v>
      </c>
      <c r="B4" s="1">
        <v>587</v>
      </c>
      <c r="C4" s="1">
        <v>299.8</v>
      </c>
      <c r="D4" s="1">
        <f t="shared" si="0"/>
        <v>175982.6</v>
      </c>
      <c r="E4" s="1">
        <f t="shared" si="1"/>
        <v>49</v>
      </c>
      <c r="F4" s="1">
        <v>48</v>
      </c>
      <c r="G4" s="1">
        <f t="shared" si="2"/>
        <v>-1</v>
      </c>
    </row>
  </sheetData>
  <conditionalFormatting sqref="F2:F4">
    <cfRule type="colorScale" priority="1">
      <colorScale>
        <cfvo type="min"/>
        <cfvo type="percentile" val="50"/>
        <cfvo type="max"/>
        <color rgb="FFF8696B"/>
        <color rgb="FFFFEB84"/>
        <color rgb="FF63BE7B"/>
      </colorScale>
    </cfRule>
  </conditionalFormatting>
  <conditionalFormatting sqref="G2:G4">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355E-A545-45C4-AC55-0C9A9A39CBB5}">
  <dimension ref="A3:E8"/>
  <sheetViews>
    <sheetView workbookViewId="0">
      <selection activeCell="A3" sqref="A3:E9"/>
    </sheetView>
  </sheetViews>
  <sheetFormatPr defaultRowHeight="14.4" x14ac:dyDescent="0.3"/>
  <cols>
    <col min="1" max="1" width="14.77734375" bestFit="1" customWidth="1"/>
    <col min="2" max="2" width="19" bestFit="1" customWidth="1"/>
    <col min="3" max="3" width="23.6640625" bestFit="1" customWidth="1"/>
    <col min="4" max="4" width="25.5546875" bestFit="1" customWidth="1"/>
    <col min="5" max="5" width="26.5546875" bestFit="1" customWidth="1"/>
  </cols>
  <sheetData>
    <row r="3" spans="1:5" x14ac:dyDescent="0.3">
      <c r="A3" s="12" t="s">
        <v>128</v>
      </c>
      <c r="B3" s="1" t="s">
        <v>131</v>
      </c>
      <c r="C3" s="1" t="s">
        <v>149</v>
      </c>
      <c r="D3" s="1" t="s">
        <v>150</v>
      </c>
      <c r="E3" s="1" t="s">
        <v>151</v>
      </c>
    </row>
    <row r="4" spans="1:5" x14ac:dyDescent="0.3">
      <c r="A4" s="1" t="s">
        <v>85</v>
      </c>
      <c r="B4" s="17">
        <v>85.666666666666671</v>
      </c>
      <c r="C4" s="17">
        <v>8</v>
      </c>
      <c r="D4" s="17">
        <v>8</v>
      </c>
      <c r="E4" s="17">
        <v>9</v>
      </c>
    </row>
    <row r="5" spans="1:5" x14ac:dyDescent="0.3">
      <c r="A5" s="1" t="s">
        <v>96</v>
      </c>
      <c r="B5" s="17">
        <v>87.666666666666671</v>
      </c>
      <c r="C5" s="17">
        <v>9</v>
      </c>
      <c r="D5" s="17">
        <v>9</v>
      </c>
      <c r="E5" s="17">
        <v>9</v>
      </c>
    </row>
    <row r="6" spans="1:5" x14ac:dyDescent="0.3">
      <c r="A6" s="1" t="s">
        <v>80</v>
      </c>
      <c r="B6" s="17">
        <v>91.333333333333329</v>
      </c>
      <c r="C6" s="17">
        <v>9.6666666666666661</v>
      </c>
      <c r="D6" s="17">
        <v>9</v>
      </c>
      <c r="E6" s="17">
        <v>9</v>
      </c>
    </row>
    <row r="7" spans="1:5" x14ac:dyDescent="0.3">
      <c r="A7" s="1" t="s">
        <v>66</v>
      </c>
      <c r="B7" s="17">
        <v>88.666666666666671</v>
      </c>
      <c r="C7" s="17">
        <v>9</v>
      </c>
      <c r="D7" s="17">
        <v>9</v>
      </c>
      <c r="E7" s="17">
        <v>9</v>
      </c>
    </row>
    <row r="8" spans="1:5" x14ac:dyDescent="0.3">
      <c r="A8" s="1" t="s">
        <v>129</v>
      </c>
      <c r="B8" s="17">
        <v>88.333333333333329</v>
      </c>
      <c r="C8" s="17">
        <v>8.9166666666666661</v>
      </c>
      <c r="D8" s="17">
        <v>8.75</v>
      </c>
      <c r="E8" s="17">
        <v>9</v>
      </c>
    </row>
  </sheetData>
  <conditionalFormatting pivot="1" sqref="B4:B7">
    <cfRule type="colorScale" priority="4">
      <colorScale>
        <cfvo type="min"/>
        <cfvo type="percentile" val="50"/>
        <cfvo type="max"/>
        <color rgb="FFF8696B"/>
        <color rgb="FFFFEB84"/>
        <color rgb="FF63BE7B"/>
      </colorScale>
    </cfRule>
  </conditionalFormatting>
  <conditionalFormatting pivot="1" sqref="C4:C7">
    <cfRule type="colorScale" priority="3">
      <colorScale>
        <cfvo type="min"/>
        <cfvo type="percentile" val="50"/>
        <cfvo type="max"/>
        <color rgb="FFF8696B"/>
        <color rgb="FFFFEB84"/>
        <color rgb="FF63BE7B"/>
      </colorScale>
    </cfRule>
  </conditionalFormatting>
  <conditionalFormatting pivot="1" sqref="D4:D7">
    <cfRule type="colorScale" priority="2">
      <colorScale>
        <cfvo type="min"/>
        <cfvo type="percentile" val="50"/>
        <cfvo type="max"/>
        <color rgb="FFF8696B"/>
        <color rgb="FFFFEB84"/>
        <color rgb="FF63BE7B"/>
      </colorScale>
    </cfRule>
  </conditionalFormatting>
  <conditionalFormatting pivot="1" sqref="E4:E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D932-13C1-4B30-B058-147D4B2C7AA8}">
  <dimension ref="A1:G4"/>
  <sheetViews>
    <sheetView workbookViewId="0">
      <selection activeCell="G1" sqref="A1:G4"/>
    </sheetView>
  </sheetViews>
  <sheetFormatPr defaultRowHeight="14.4" x14ac:dyDescent="0.3"/>
  <cols>
    <col min="1" max="1" width="6.77734375" bestFit="1" customWidth="1"/>
    <col min="2" max="2" width="9.88671875" bestFit="1" customWidth="1"/>
    <col min="3" max="3" width="12.6640625" bestFit="1" customWidth="1"/>
    <col min="4" max="4" width="6.77734375" bestFit="1" customWidth="1"/>
    <col min="5" max="5" width="9.88671875" bestFit="1" customWidth="1"/>
    <col min="6" max="6" width="12" hidden="1" customWidth="1"/>
    <col min="7" max="7" width="8" bestFit="1" customWidth="1"/>
  </cols>
  <sheetData>
    <row r="1" spans="1:7" ht="28.8" x14ac:dyDescent="0.3">
      <c r="A1" s="16" t="s">
        <v>3</v>
      </c>
      <c r="B1" s="16" t="s">
        <v>152</v>
      </c>
      <c r="C1" s="16" t="s">
        <v>154</v>
      </c>
      <c r="D1" s="16" t="s">
        <v>155</v>
      </c>
      <c r="E1" s="16" t="s">
        <v>156</v>
      </c>
      <c r="F1" s="16" t="s">
        <v>160</v>
      </c>
      <c r="G1" s="16" t="s">
        <v>153</v>
      </c>
    </row>
    <row r="2" spans="1:7" x14ac:dyDescent="0.3">
      <c r="A2" s="1" t="s">
        <v>157</v>
      </c>
      <c r="B2" s="1">
        <v>50</v>
      </c>
      <c r="C2" s="1">
        <v>5</v>
      </c>
      <c r="D2" s="1">
        <v>7</v>
      </c>
      <c r="E2" s="1">
        <f>C2+B2-D2</f>
        <v>48</v>
      </c>
      <c r="F2" s="1">
        <f>D2/B2*100</f>
        <v>14.000000000000002</v>
      </c>
      <c r="G2" s="15">
        <f>F2/100</f>
        <v>0.14000000000000001</v>
      </c>
    </row>
    <row r="3" spans="1:7" x14ac:dyDescent="0.3">
      <c r="A3" s="1" t="s">
        <v>158</v>
      </c>
      <c r="B3" s="1">
        <v>48</v>
      </c>
      <c r="C3" s="1">
        <v>4</v>
      </c>
      <c r="D3" s="1">
        <v>2</v>
      </c>
      <c r="E3" s="1">
        <f t="shared" ref="E3:E4" si="0">C3+B3-D3</f>
        <v>50</v>
      </c>
      <c r="F3" s="1">
        <f t="shared" ref="F3:F4" si="1">D3/B3*100</f>
        <v>4.1666666666666661</v>
      </c>
      <c r="G3" s="15">
        <f>F3/100</f>
        <v>4.1666666666666657E-2</v>
      </c>
    </row>
    <row r="4" spans="1:7" x14ac:dyDescent="0.3">
      <c r="A4" s="1" t="s">
        <v>159</v>
      </c>
      <c r="B4" s="1">
        <v>52</v>
      </c>
      <c r="C4" s="1">
        <v>6</v>
      </c>
      <c r="D4" s="1">
        <v>4</v>
      </c>
      <c r="E4" s="1">
        <f t="shared" si="0"/>
        <v>54</v>
      </c>
      <c r="F4" s="1">
        <f t="shared" si="1"/>
        <v>7.6923076923076925</v>
      </c>
      <c r="G4" s="15">
        <f>F4/100</f>
        <v>7.6923076923076927E-2</v>
      </c>
    </row>
  </sheetData>
  <conditionalFormatting sqref="D2:D4">
    <cfRule type="colorScale" priority="1">
      <colorScale>
        <cfvo type="min"/>
        <cfvo type="percentile" val="50"/>
        <cfvo type="max"/>
        <color rgb="FF63BE7B"/>
        <color rgb="FFFFEB84"/>
        <color rgb="FFF8696B"/>
      </colorScale>
    </cfRule>
  </conditionalFormatting>
  <conditionalFormatting sqref="G2:G4">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A1C1-C23E-41EC-9CB8-57B0CF75F133}">
  <dimension ref="A1"/>
  <sheetViews>
    <sheetView showGridLines="0" tabSelected="1" topLeftCell="A3" workbookViewId="0">
      <selection activeCell="F7" sqref="F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Master_Data</vt:lpstr>
      <vt:lpstr>KPI_Summary</vt:lpstr>
      <vt:lpstr>Agent_Performance</vt:lpstr>
      <vt:lpstr>Call_Volume</vt:lpstr>
      <vt:lpstr>Manpower_Planning</vt:lpstr>
      <vt:lpstr>Quality analysis</vt:lpstr>
      <vt:lpstr>Attrition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Alrick Paul</dc:creator>
  <cp:lastModifiedBy>Alrick Paul</cp:lastModifiedBy>
  <dcterms:created xsi:type="dcterms:W3CDTF">2026-03-15T06:40:12Z</dcterms:created>
  <dcterms:modified xsi:type="dcterms:W3CDTF">2026-03-15T10:04:24Z</dcterms:modified>
</cp:coreProperties>
</file>